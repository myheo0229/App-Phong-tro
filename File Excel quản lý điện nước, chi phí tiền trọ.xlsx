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020" tabRatio="600" firstSheet="0" activeTab="1" autoFilterDateGrouping="1"/>
  </bookViews>
  <sheets>
    <sheet name="Thông Báo tháng" sheetId="1" state="visible" r:id="rId1"/>
    <sheet name="Quản lý điện nước, chi phí tiền" sheetId="2" state="visible" r:id="rId2"/>
    <sheet name="Sheet1" sheetId="3" state="visible" r:id="rId3"/>
  </sheets>
  <definedNames>
    <definedName name="DataMerge">'Quản lý điện nước, chi phí tiền'!$A$2:$P$15</definedName>
    <definedName name="Phong">'Quản lý điện nước, chi phí tiền'!$A$4:$A$15</definedName>
    <definedName name="SL">'Quản lý điện nước, chi phí tiền'!$A$4:$R$15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&quot;Ngày 01&quot;\ &quot;Tháng&quot;\ mm\ &quot;Năm&quot;\ yyyy"/>
    <numFmt numFmtId="166" formatCode="&quot;Ngày&quot;\ dd\ &quot;Tháng&quot;\ mm\ &quot;Năm&quot;\ yyyy"/>
  </numFmts>
  <fonts count="14">
    <font>
      <name val="Aptos Narrow"/>
      <color rgb="FF000000"/>
      <sz val="10"/>
      <scheme val="minor"/>
    </font>
    <font>
      <name val="K2D"/>
      <b val="1"/>
      <color theme="1"/>
      <sz val="12"/>
    </font>
    <font>
      <name val="K2D"/>
      <color theme="1"/>
      <sz val="10"/>
    </font>
    <font>
      <name val="K2D"/>
      <color theme="1"/>
      <sz val="12"/>
    </font>
    <font>
      <name val="Aptos Narrow"/>
      <family val="2"/>
      <sz val="10"/>
    </font>
    <font>
      <name val="K2D"/>
      <b val="1"/>
      <color theme="1"/>
      <sz val="10"/>
    </font>
    <font>
      <name val="K2D"/>
      <b val="1"/>
      <color theme="1"/>
      <sz val="11"/>
    </font>
    <font>
      <name val="K2D"/>
      <color theme="1"/>
      <sz val="11"/>
    </font>
    <font>
      <name val="K2D"/>
      <color theme="1"/>
      <sz val="9"/>
    </font>
    <font>
      <name val="K2D"/>
      <color theme="1"/>
      <sz val="10"/>
      <u val="single"/>
    </font>
    <font>
      <name val="Arial"/>
      <family val="2"/>
      <color theme="1"/>
      <sz val="10"/>
    </font>
    <font>
      <name val="Arial"/>
      <family val="2"/>
      <color rgb="FF0000FF"/>
      <sz val="16"/>
    </font>
    <font>
      <name val="Arial"/>
      <family val="2"/>
      <color rgb="FF0000FF"/>
      <sz val="10"/>
    </font>
    <font>
      <name val="K2D"/>
      <b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A8D08D"/>
        <bgColor rgb="FFA8D08D"/>
      </patternFill>
    </fill>
  </fills>
  <borders count="111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3366"/>
      </left>
      <right style="thin">
        <color rgb="FF003366"/>
      </right>
      <top style="double">
        <color rgb="FF003366"/>
      </top>
      <bottom style="hair">
        <color rgb="FF003366"/>
      </bottom>
      <diagonal/>
    </border>
    <border>
      <left style="thin">
        <color rgb="FF003366"/>
      </left>
      <right/>
      <top style="double">
        <color rgb="FF003366"/>
      </top>
      <bottom style="hair">
        <color rgb="FF003366"/>
      </bottom>
      <diagonal/>
    </border>
    <border>
      <left/>
      <right style="thin">
        <color rgb="FF003366"/>
      </right>
      <top style="double">
        <color rgb="FF003366"/>
      </top>
      <bottom style="hair">
        <color rgb="FF003366"/>
      </bottom>
      <diagonal/>
    </border>
    <border>
      <left/>
      <right/>
      <top style="double">
        <color rgb="FF003366"/>
      </top>
      <bottom style="hair">
        <color rgb="FF003366"/>
      </bottom>
      <diagonal/>
    </border>
    <border>
      <left/>
      <right style="double">
        <color rgb="FF003366"/>
      </right>
      <top style="double">
        <color rgb="FF003366"/>
      </top>
      <bottom style="hair">
        <color rgb="FF003366"/>
      </bottom>
      <diagonal/>
    </border>
    <border>
      <left style="double">
        <color rgb="FF003366"/>
      </left>
      <right style="thin">
        <color rgb="FF003366"/>
      </right>
      <top style="hair">
        <color rgb="FF003366"/>
      </top>
      <bottom style="hair">
        <color rgb="FF003366"/>
      </bottom>
      <diagonal/>
    </border>
    <border>
      <left style="thin">
        <color rgb="FF003366"/>
      </left>
      <right/>
      <top style="hair">
        <color rgb="FF003366"/>
      </top>
      <bottom style="hair">
        <color rgb="FF003366"/>
      </bottom>
      <diagonal/>
    </border>
    <border>
      <left/>
      <right style="thin">
        <color rgb="FF003366"/>
      </right>
      <top style="hair">
        <color rgb="FF003366"/>
      </top>
      <bottom style="hair">
        <color rgb="FF003366"/>
      </bottom>
      <diagonal/>
    </border>
    <border>
      <left/>
      <right/>
      <top style="hair">
        <color rgb="FF003366"/>
      </top>
      <bottom style="hair">
        <color rgb="FF003366"/>
      </bottom>
      <diagonal/>
    </border>
    <border>
      <left/>
      <right style="double">
        <color rgb="FF003366"/>
      </right>
      <top style="hair">
        <color rgb="FF003366"/>
      </top>
      <bottom style="hair">
        <color rgb="FF003366"/>
      </bottom>
      <diagonal/>
    </border>
    <border>
      <left style="thin">
        <color rgb="FF003366"/>
      </left>
      <right/>
      <top style="thin">
        <color rgb="FF003366"/>
      </top>
      <bottom style="hair">
        <color rgb="FF003366"/>
      </bottom>
      <diagonal/>
    </border>
    <border>
      <left/>
      <right/>
      <top style="thin">
        <color rgb="FF003366"/>
      </top>
      <bottom style="hair">
        <color rgb="FF003366"/>
      </bottom>
      <diagonal/>
    </border>
    <border>
      <left/>
      <right style="thin">
        <color rgb="FF003366"/>
      </right>
      <top style="thin">
        <color rgb="FF003366"/>
      </top>
      <bottom style="hair">
        <color rgb="FF003366"/>
      </bottom>
      <diagonal/>
    </border>
    <border>
      <left/>
      <right style="double">
        <color rgb="FF003366"/>
      </right>
      <top style="thin">
        <color rgb="FF003366"/>
      </top>
      <bottom style="hair">
        <color rgb="FF003366"/>
      </bottom>
      <diagonal/>
    </border>
    <border>
      <left style="double">
        <color rgb="FF003366"/>
      </left>
      <right style="thin">
        <color rgb="FF003366"/>
      </right>
      <top style="hair">
        <color rgb="FF003366"/>
      </top>
      <bottom style="double">
        <color rgb="FF003366"/>
      </bottom>
      <diagonal/>
    </border>
    <border>
      <left style="thin">
        <color rgb="FF003366"/>
      </left>
      <right/>
      <top style="hair">
        <color rgb="FF003366"/>
      </top>
      <bottom style="double">
        <color rgb="FF003366"/>
      </bottom>
      <diagonal/>
    </border>
    <border>
      <left/>
      <right style="thin">
        <color rgb="FF003366"/>
      </right>
      <top style="hair">
        <color rgb="FF003366"/>
      </top>
      <bottom style="double">
        <color rgb="FF003366"/>
      </bottom>
      <diagonal/>
    </border>
    <border>
      <left/>
      <right/>
      <top style="hair">
        <color rgb="FF003366"/>
      </top>
      <bottom style="double">
        <color rgb="FF003366"/>
      </bottom>
      <diagonal/>
    </border>
    <border>
      <left/>
      <right style="double">
        <color rgb="FF003366"/>
      </right>
      <top style="hair">
        <color rgb="FF003366"/>
      </top>
      <bottom style="double">
        <color rgb="FF003366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66"/>
      </left>
      <right/>
      <top style="hair">
        <color rgb="FF003366"/>
      </top>
      <bottom style="thin">
        <color rgb="FF003366"/>
      </bottom>
      <diagonal/>
    </border>
    <border>
      <left/>
      <right style="double">
        <color rgb="FF003366"/>
      </right>
      <top style="hair">
        <color rgb="FF003366"/>
      </top>
      <bottom style="thin">
        <color rgb="FF003366"/>
      </bottom>
      <diagonal/>
    </border>
    <border>
      <left/>
      <right/>
      <top style="hair">
        <color rgb="FF003366"/>
      </top>
      <bottom style="thin">
        <color rgb="FF003366"/>
      </bottom>
      <diagonal/>
    </border>
    <border>
      <left/>
      <right style="thin">
        <color rgb="FF003366"/>
      </right>
      <top style="hair">
        <color rgb="FF003366"/>
      </top>
      <bottom style="thin">
        <color rgb="FF003366"/>
      </bottom>
      <diagonal/>
    </border>
    <border>
      <left/>
      <right/>
      <top style="double">
        <color rgb="FF003366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3366"/>
      </left>
      <right style="double">
        <color rgb="FF003366"/>
      </right>
      <top style="hair">
        <color rgb="FF003366"/>
      </top>
      <bottom style="hair">
        <color rgb="FF003366"/>
      </bottom>
      <diagonal/>
    </border>
    <border>
      <left/>
      <right/>
      <top style="hair">
        <color rgb="FF003366"/>
      </top>
      <bottom/>
      <diagonal/>
    </border>
    <border>
      <left/>
      <right style="double">
        <color rgb="FF003366"/>
      </right>
      <top style="hair">
        <color rgb="FF003366"/>
      </top>
      <bottom/>
      <diagonal/>
    </border>
    <border>
      <left style="thin">
        <color rgb="FF003366"/>
      </left>
      <right style="thin">
        <color rgb="FF003366"/>
      </right>
      <top style="hair">
        <color rgb="FF003366"/>
      </top>
      <bottom style="double">
        <color rgb="FF003366"/>
      </bottom>
      <diagonal/>
    </border>
    <border>
      <left/>
      <right style="thin">
        <color rgb="FF003366"/>
      </right>
      <top style="hair">
        <color rgb="FF003366"/>
      </top>
      <bottom/>
      <diagonal/>
    </border>
    <border>
      <left style="thin">
        <color rgb="FF003366"/>
      </left>
      <right style="double">
        <color rgb="FF003366"/>
      </right>
      <top style="hair">
        <color rgb="FF003366"/>
      </top>
      <bottom style="double">
        <color rgb="FF003366"/>
      </bottom>
      <diagonal/>
    </border>
    <border>
      <left style="thin">
        <color rgb="FF003366"/>
      </left>
      <right style="thin">
        <color rgb="FF003366"/>
      </right>
      <top style="hair">
        <color rgb="FF003366"/>
      </top>
      <bottom style="thin">
        <color rgb="FF003366"/>
      </bottom>
      <diagonal/>
    </border>
    <border>
      <left style="thin">
        <color rgb="FF003366"/>
      </left>
      <right style="double">
        <color rgb="FF003366"/>
      </right>
      <top style="hair">
        <color rgb="FF003366"/>
      </top>
      <bottom style="thin">
        <color rgb="FF003366"/>
      </bottom>
      <diagonal/>
    </border>
    <border>
      <left style="thin">
        <color rgb="FF003366"/>
      </left>
      <right style="double">
        <color rgb="FF003366"/>
      </right>
      <top style="thin">
        <color rgb="FF003366"/>
      </top>
      <bottom style="hair">
        <color rgb="FF003366"/>
      </bottom>
      <diagonal/>
    </border>
    <border>
      <left/>
      <right/>
      <top style="thin">
        <color rgb="FF003366"/>
      </top>
      <bottom/>
      <diagonal/>
    </border>
    <border>
      <left/>
      <right style="double">
        <color rgb="FF003366"/>
      </right>
      <top style="thin">
        <color rgb="FF003366"/>
      </top>
      <bottom/>
      <diagonal/>
    </border>
    <border>
      <left style="thin">
        <color rgb="FF003366"/>
      </left>
      <right style="thin">
        <color rgb="FF003366"/>
      </right>
      <top style="hair">
        <color rgb="FF003366"/>
      </top>
      <bottom style="hair">
        <color rgb="FF003366"/>
      </bottom>
      <diagonal/>
    </border>
    <border>
      <left style="thin">
        <color rgb="FF003366"/>
      </left>
      <right style="thin">
        <color rgb="FF003366"/>
      </right>
      <top style="double">
        <color rgb="FF003366"/>
      </top>
      <bottom style="hair">
        <color rgb="FF003366"/>
      </bottom>
      <diagonal/>
    </border>
    <border>
      <left/>
      <right style="thin">
        <color rgb="FF003366"/>
      </right>
      <top style="double">
        <color rgb="FF003366"/>
      </top>
      <bottom/>
      <diagonal/>
    </border>
    <border>
      <left style="thin">
        <color rgb="FF003366"/>
      </left>
      <right style="double">
        <color rgb="FF003366"/>
      </right>
      <top style="double">
        <color rgb="FF003366"/>
      </top>
      <bottom style="hair">
        <color rgb="FF003366"/>
      </bottom>
      <diagonal/>
    </border>
    <border>
      <left/>
      <right style="double">
        <color rgb="FF003366"/>
      </right>
      <top style="double">
        <color rgb="FF003366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hair">
        <color rgb="FF003366"/>
      </bottom>
      <diagonal/>
    </border>
    <border>
      <left/>
      <right style="thin">
        <color rgb="FF003366"/>
      </right>
      <top style="thin">
        <color rgb="FF003366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212"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3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0" fontId="2" fillId="2" borderId="6" pivotButton="0" quotePrefix="0" xfId="0"/>
    <xf numFmtId="0" fontId="1" fillId="3" borderId="6" pivotButton="0" quotePrefix="0" xfId="0"/>
    <xf numFmtId="0" fontId="7" fillId="2" borderId="11" pivotButton="0" quotePrefix="0" xfId="0"/>
    <xf numFmtId="3" fontId="7" fillId="3" borderId="11" applyAlignment="1" pivotButton="0" quotePrefix="0" xfId="0">
      <alignment horizontal="right"/>
    </xf>
    <xf numFmtId="0" fontId="5" fillId="2" borderId="12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17" pivotButton="0" quotePrefix="0" xfId="0"/>
    <xf numFmtId="0" fontId="2" fillId="2" borderId="26" pivotButton="0" quotePrefix="0" xfId="0"/>
    <xf numFmtId="0" fontId="9" fillId="2" borderId="0" pivotButton="0" quotePrefix="0" xfId="0"/>
    <xf numFmtId="0" fontId="5" fillId="2" borderId="0" pivotButton="0" quotePrefix="0" xfId="0"/>
    <xf numFmtId="0" fontId="5" fillId="2" borderId="1" pivotButton="0" quotePrefix="0" xfId="0"/>
    <xf numFmtId="0" fontId="5" fillId="2" borderId="2" pivotButton="0" quotePrefix="0" xfId="0"/>
    <xf numFmtId="0" fontId="2" fillId="2" borderId="31" pivotButton="0" quotePrefix="0" xfId="0"/>
    <xf numFmtId="0" fontId="2" fillId="2" borderId="32" pivotButton="0" quotePrefix="0" xfId="0"/>
    <xf numFmtId="0" fontId="2" fillId="2" borderId="33" pivotButton="0" quotePrefix="0" xfId="0"/>
    <xf numFmtId="0" fontId="10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4" borderId="35" applyAlignment="1" pivotButton="0" quotePrefix="0" xfId="0">
      <alignment horizontal="center" vertical="center" wrapText="1"/>
    </xf>
    <xf numFmtId="0" fontId="5" fillId="4" borderId="36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/>
    </xf>
    <xf numFmtId="0" fontId="5" fillId="4" borderId="40" applyAlignment="1" pivotButton="0" quotePrefix="0" xfId="0">
      <alignment horizontal="center" vertical="center"/>
    </xf>
    <xf numFmtId="164" fontId="5" fillId="4" borderId="42" applyAlignment="1" pivotButton="0" quotePrefix="0" xfId="0">
      <alignment vertical="center"/>
    </xf>
    <xf numFmtId="164" fontId="5" fillId="4" borderId="43" applyAlignment="1" pivotButton="0" quotePrefix="0" xfId="0">
      <alignment vertical="center"/>
    </xf>
    <xf numFmtId="0" fontId="5" fillId="0" borderId="46" applyAlignment="1" pivotButton="0" quotePrefix="0" xfId="0">
      <alignment horizontal="center" vertical="center"/>
    </xf>
    <xf numFmtId="3" fontId="2" fillId="5" borderId="48" applyAlignment="1" pivotButton="0" quotePrefix="0" xfId="0">
      <alignment horizontal="center" vertical="center"/>
    </xf>
    <xf numFmtId="3" fontId="2" fillId="5" borderId="49" applyAlignment="1" pivotButton="0" quotePrefix="0" xfId="0">
      <alignment horizontal="center" vertical="center"/>
    </xf>
    <xf numFmtId="3" fontId="2" fillId="6" borderId="48" applyAlignment="1" pivotButton="0" quotePrefix="0" xfId="0">
      <alignment horizontal="center" vertical="center"/>
    </xf>
    <xf numFmtId="3" fontId="2" fillId="6" borderId="49" applyAlignment="1" pivotButton="0" quotePrefix="0" xfId="0">
      <alignment horizontal="center" vertical="center"/>
    </xf>
    <xf numFmtId="3" fontId="2" fillId="7" borderId="47" applyAlignment="1" pivotButton="0" quotePrefix="0" xfId="0">
      <alignment horizontal="center" vertical="center"/>
    </xf>
    <xf numFmtId="3" fontId="2" fillId="7" borderId="48" applyAlignment="1" pivotButton="0" quotePrefix="0" xfId="0">
      <alignment horizontal="center" vertical="center"/>
    </xf>
    <xf numFmtId="3" fontId="2" fillId="7" borderId="49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3" fontId="2" fillId="5" borderId="55" applyAlignment="1" pivotButton="0" quotePrefix="0" xfId="0">
      <alignment horizontal="center" vertical="center"/>
    </xf>
    <xf numFmtId="3" fontId="2" fillId="5" borderId="56" applyAlignment="1" pivotButton="0" quotePrefix="0" xfId="0">
      <alignment horizontal="center" vertical="center"/>
    </xf>
    <xf numFmtId="3" fontId="2" fillId="6" borderId="55" applyAlignment="1" pivotButton="0" quotePrefix="0" xfId="0">
      <alignment horizontal="center" vertical="center"/>
    </xf>
    <xf numFmtId="3" fontId="2" fillId="6" borderId="56" applyAlignment="1" pivotButton="0" quotePrefix="0" xfId="0">
      <alignment horizontal="center" vertical="center"/>
    </xf>
    <xf numFmtId="3" fontId="2" fillId="7" borderId="54" applyAlignment="1" pivotButton="0" quotePrefix="0" xfId="0">
      <alignment horizontal="center" vertical="center"/>
    </xf>
    <xf numFmtId="3" fontId="2" fillId="7" borderId="55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3" fontId="2" fillId="5" borderId="58" applyAlignment="1" pivotButton="0" quotePrefix="0" xfId="0">
      <alignment horizontal="center" vertical="center"/>
    </xf>
    <xf numFmtId="3" fontId="2" fillId="5" borderId="59" applyAlignment="1" pivotButton="0" quotePrefix="0" xfId="0">
      <alignment horizontal="center" vertical="center"/>
    </xf>
    <xf numFmtId="3" fontId="2" fillId="6" borderId="58" applyAlignment="1" pivotButton="0" quotePrefix="0" xfId="0">
      <alignment horizontal="center" vertical="center"/>
    </xf>
    <xf numFmtId="3" fontId="2" fillId="6" borderId="59" applyAlignment="1" pivotButton="0" quotePrefix="0" xfId="0">
      <alignment horizontal="center" vertical="center"/>
    </xf>
    <xf numFmtId="3" fontId="2" fillId="7" borderId="58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61" applyAlignment="1" pivotButton="0" quotePrefix="0" xfId="0">
      <alignment horizontal="center" vertical="center"/>
    </xf>
    <xf numFmtId="0" fontId="2" fillId="0" borderId="62" applyAlignment="1" pivotButton="0" quotePrefix="0" xfId="0">
      <alignment horizontal="center" vertical="center"/>
    </xf>
    <xf numFmtId="3" fontId="5" fillId="8" borderId="66" applyAlignment="1" pivotButton="0" quotePrefix="0" xfId="0">
      <alignment horizontal="center" vertical="center"/>
    </xf>
    <xf numFmtId="0" fontId="2" fillId="8" borderId="67" applyAlignment="1" pivotButton="0" quotePrefix="0" xfId="0">
      <alignment horizontal="center" vertical="center"/>
    </xf>
    <xf numFmtId="0" fontId="2" fillId="8" borderId="68" applyAlignment="1" pivotButton="0" quotePrefix="0" xfId="0">
      <alignment horizontal="center" vertical="center"/>
    </xf>
    <xf numFmtId="0" fontId="2" fillId="8" borderId="6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3" fontId="2" fillId="7" borderId="51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/>
    </xf>
    <xf numFmtId="164" fontId="2" fillId="2" borderId="27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164" fontId="2" fillId="2" borderId="30" applyAlignment="1" pivotButton="0" quotePrefix="0" xfId="0">
      <alignment horizontal="center"/>
    </xf>
    <xf numFmtId="4" fontId="2" fillId="7" borderId="51" applyAlignment="1" pivotButton="0" quotePrefix="0" xfId="0">
      <alignment horizontal="center" vertical="center"/>
    </xf>
    <xf numFmtId="0" fontId="13" fillId="2" borderId="0" pivotButton="0" quotePrefix="0" xfId="0"/>
    <xf numFmtId="0" fontId="5" fillId="4" borderId="81" applyAlignment="1" pivotButton="0" quotePrefix="0" xfId="0">
      <alignment horizontal="center" vertical="center"/>
    </xf>
    <xf numFmtId="0" fontId="5" fillId="4" borderId="81" applyAlignment="1" pivotButton="0" quotePrefix="0" xfId="0">
      <alignment horizontal="center" vertical="center" wrapText="1"/>
    </xf>
    <xf numFmtId="0" fontId="5" fillId="4" borderId="80" applyAlignment="1" pivotButton="0" quotePrefix="0" xfId="0">
      <alignment horizontal="center" vertical="center" wrapText="1"/>
    </xf>
    <xf numFmtId="0" fontId="5" fillId="4" borderId="8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19" applyAlignment="1" pivotButton="0" quotePrefix="0" xfId="0">
      <alignment horizontal="left"/>
    </xf>
    <xf numFmtId="3" fontId="8" fillId="2" borderId="18" applyAlignment="1" pivotButton="0" quotePrefix="0" xfId="0">
      <alignment horizontal="center"/>
    </xf>
    <xf numFmtId="3" fontId="8" fillId="2" borderId="20" applyAlignment="1" pivotButton="0" quotePrefix="0" xfId="0">
      <alignment horizontal="center"/>
    </xf>
    <xf numFmtId="3" fontId="8" fillId="2" borderId="19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20" applyAlignment="1" pivotButton="0" quotePrefix="0" xfId="0">
      <alignment horizontal="center"/>
    </xf>
    <xf numFmtId="0" fontId="8" fillId="2" borderId="19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0" fontId="5" fillId="2" borderId="22" applyAlignment="1" pivotButton="0" quotePrefix="0" xfId="0">
      <alignment horizontal="center"/>
    </xf>
    <xf numFmtId="0" fontId="5" fillId="2" borderId="23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2" fillId="2" borderId="18" applyAlignment="1" pivotButton="0" quotePrefix="0" xfId="0">
      <alignment horizontal="center"/>
    </xf>
    <xf numFmtId="164" fontId="2" fillId="2" borderId="21" applyAlignment="1" pivotButton="0" quotePrefix="0" xfId="0">
      <alignment horizontal="center"/>
    </xf>
    <xf numFmtId="0" fontId="2" fillId="2" borderId="18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8" fillId="2" borderId="70" applyAlignment="1" pivotButton="0" quotePrefix="0" xfId="0">
      <alignment horizontal="center"/>
    </xf>
    <xf numFmtId="0" fontId="8" fillId="2" borderId="72" applyAlignment="1" pivotButton="0" quotePrefix="0" xfId="0">
      <alignment horizontal="center"/>
    </xf>
    <xf numFmtId="0" fontId="8" fillId="2" borderId="73" applyAlignment="1" pivotButton="0" quotePrefix="0" xfId="0">
      <alignment horizontal="center"/>
    </xf>
    <xf numFmtId="164" fontId="5" fillId="2" borderId="22" applyAlignment="1" pivotButton="0" quotePrefix="0" xfId="0">
      <alignment horizontal="center"/>
    </xf>
    <xf numFmtId="164" fontId="5" fillId="2" borderId="25" applyAlignment="1" pivotButton="0" quotePrefix="0" xfId="0">
      <alignment horizontal="center"/>
    </xf>
    <xf numFmtId="0" fontId="5" fillId="2" borderId="13" applyAlignment="1" pivotButton="0" quotePrefix="0" xfId="0">
      <alignment horizontal="center"/>
    </xf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6" fillId="2" borderId="7" applyAlignment="1" pivotButton="0" quotePrefix="0" xfId="0">
      <alignment horizontal="center" wrapText="1"/>
    </xf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2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4" fillId="0" borderId="4" pivotButton="0" quotePrefix="0" xfId="0"/>
    <xf numFmtId="0" fontId="4" fillId="0" borderId="5" pivotButton="0" quotePrefix="0" xfId="0"/>
    <xf numFmtId="165" fontId="5" fillId="2" borderId="0" applyAlignment="1" pivotButton="0" quotePrefix="0" xfId="0">
      <alignment horizontal="center"/>
    </xf>
    <xf numFmtId="165" fontId="0" fillId="0" borderId="0" pivotButton="0" quotePrefix="0" xfId="0"/>
    <xf numFmtId="166" fontId="5" fillId="2" borderId="0" applyAlignment="1" pivotButton="0" quotePrefix="0" xfId="0">
      <alignment horizontal="center"/>
    </xf>
    <xf numFmtId="166" fontId="0" fillId="0" borderId="0" pivotButton="0" quotePrefix="0" xfId="0"/>
    <xf numFmtId="0" fontId="2" fillId="2" borderId="27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7" applyAlignment="1" pivotButton="0" quotePrefix="0" xfId="0">
      <alignment horizontal="center"/>
    </xf>
    <xf numFmtId="164" fontId="2" fillId="2" borderId="30" applyAlignment="1" pivotButton="0" quotePrefix="0" xfId="0">
      <alignment horizontal="center"/>
    </xf>
    <xf numFmtId="0" fontId="2" fillId="2" borderId="27" applyAlignment="1" pivotButton="0" quotePrefix="0" xfId="0">
      <alignment horizontal="left"/>
    </xf>
    <xf numFmtId="0" fontId="2" fillId="2" borderId="28" applyAlignment="1" pivotButton="0" quotePrefix="0" xfId="0">
      <alignment horizontal="left"/>
    </xf>
    <xf numFmtId="0" fontId="2" fillId="2" borderId="74" applyAlignment="1" pivotButton="0" quotePrefix="0" xfId="0">
      <alignment horizontal="center"/>
    </xf>
    <xf numFmtId="164" fontId="2" fillId="2" borderId="70" applyAlignment="1" pivotButton="0" quotePrefix="0" xfId="0">
      <alignment horizontal="center"/>
    </xf>
    <xf numFmtId="164" fontId="2" fillId="2" borderId="71" applyAlignment="1" pivotButton="0" quotePrefix="0" xfId="0">
      <alignment horizontal="center"/>
    </xf>
    <xf numFmtId="0" fontId="5" fillId="4" borderId="37" applyAlignment="1" pivotButton="0" quotePrefix="0" xfId="0">
      <alignment horizontal="center" vertical="center" wrapText="1"/>
    </xf>
    <xf numFmtId="0" fontId="4" fillId="0" borderId="44" pivotButton="0" quotePrefix="0" xfId="0"/>
    <xf numFmtId="0" fontId="5" fillId="4" borderId="34" applyAlignment="1" pivotButton="0" quotePrefix="0" xfId="0">
      <alignment horizontal="center" vertical="center" wrapText="1"/>
    </xf>
    <xf numFmtId="0" fontId="4" fillId="0" borderId="41" pivotButton="0" quotePrefix="0" xfId="0"/>
    <xf numFmtId="0" fontId="5" fillId="4" borderId="7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4" fillId="0" borderId="45" pivotButton="0" quotePrefix="0" xfId="0"/>
    <xf numFmtId="0" fontId="5" fillId="8" borderId="63" applyAlignment="1" pivotButton="0" quotePrefix="0" xfId="0">
      <alignment horizontal="center" vertical="center"/>
    </xf>
    <xf numFmtId="0" fontId="5" fillId="8" borderId="64" applyAlignment="1" pivotButton="0" quotePrefix="0" xfId="0">
      <alignment horizontal="center" vertical="center"/>
    </xf>
    <xf numFmtId="0" fontId="5" fillId="8" borderId="65" applyAlignment="1" pivotButton="0" quotePrefix="0" xfId="0">
      <alignment horizontal="center" vertical="center"/>
    </xf>
    <xf numFmtId="0" fontId="5" fillId="4" borderId="69" applyAlignment="1" pivotButton="0" quotePrefix="0" xfId="0">
      <alignment horizontal="center" vertical="center" wrapText="1"/>
    </xf>
    <xf numFmtId="0" fontId="5" fillId="4" borderId="44" applyAlignment="1" pivotButton="0" quotePrefix="0" xfId="0">
      <alignment horizontal="center" vertical="center" wrapText="1"/>
    </xf>
    <xf numFmtId="0" fontId="5" fillId="4" borderId="78" applyAlignment="1" pivotButton="0" quotePrefix="0" xfId="0">
      <alignment horizontal="center" vertical="center" wrapText="1"/>
    </xf>
    <xf numFmtId="0" fontId="4" fillId="0" borderId="79" pivotButton="0" quotePrefix="0" xfId="0"/>
    <xf numFmtId="0" fontId="5" fillId="4" borderId="75" applyAlignment="1" pivotButton="0" quotePrefix="0" xfId="0">
      <alignment horizontal="center" vertical="center"/>
    </xf>
    <xf numFmtId="0" fontId="4" fillId="0" borderId="76" pivotButton="0" quotePrefix="0" xfId="0"/>
    <xf numFmtId="0" fontId="1" fillId="8" borderId="63" applyAlignment="1" pivotButton="0" quotePrefix="0" xfId="0">
      <alignment horizontal="center" vertical="center"/>
    </xf>
    <xf numFmtId="0" fontId="1" fillId="8" borderId="64" applyAlignment="1" pivotButton="0" quotePrefix="0" xfId="0">
      <alignment horizontal="center" vertical="center"/>
    </xf>
    <xf numFmtId="0" fontId="1" fillId="8" borderId="6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/>
    </xf>
    <xf numFmtId="0" fontId="3" fillId="2" borderId="6" applyAlignment="1" pivotButton="0" quotePrefix="0" xfId="0">
      <alignment horizontal="center" wrapText="1"/>
    </xf>
    <xf numFmtId="165" fontId="5" fillId="2" borderId="6" applyAlignment="1" pivotButton="0" quotePrefix="0" xfId="0">
      <alignment horizontal="center"/>
    </xf>
    <xf numFmtId="166" fontId="5" fillId="2" borderId="6" applyAlignment="1" pivotButton="0" quotePrefix="0" xfId="0">
      <alignment horizontal="center"/>
    </xf>
    <xf numFmtId="0" fontId="2" fillId="2" borderId="6" applyAlignment="1" pivotButton="0" quotePrefix="0" xfId="0">
      <alignment horizontal="left"/>
    </xf>
    <xf numFmtId="0" fontId="5" fillId="2" borderId="6" applyAlignment="1" pivotButton="0" quotePrefix="0" xfId="0">
      <alignment horizontal="left"/>
    </xf>
    <xf numFmtId="0" fontId="2" fillId="2" borderId="6" applyAlignment="1" pivotButton="0" quotePrefix="0" xfId="0">
      <alignment horizontal="right"/>
    </xf>
    <xf numFmtId="0" fontId="6" fillId="2" borderId="1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6" applyAlignment="1" pivotButton="0" quotePrefix="0" xfId="0">
      <alignment horizontal="center"/>
    </xf>
    <xf numFmtId="0" fontId="5" fillId="2" borderId="95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5" fillId="2" borderId="97" applyAlignment="1" pivotButton="0" quotePrefix="0" xfId="0">
      <alignment horizontal="center"/>
    </xf>
    <xf numFmtId="0" fontId="0" fillId="0" borderId="16" pivotButton="0" quotePrefix="0" xfId="0"/>
    <xf numFmtId="0" fontId="2" fillId="2" borderId="94" applyAlignment="1" pivotButton="0" quotePrefix="0" xfId="0">
      <alignment horizontal="left"/>
    </xf>
    <xf numFmtId="0" fontId="0" fillId="0" borderId="19" pivotButton="0" quotePrefix="0" xfId="0"/>
    <xf numFmtId="3" fontId="8" fillId="2" borderId="94" applyAlignment="1" pivotButton="0" quotePrefix="0" xfId="0">
      <alignment horizontal="center"/>
    </xf>
    <xf numFmtId="0" fontId="0" fillId="0" borderId="20" pivotButton="0" quotePrefix="0" xfId="0"/>
    <xf numFmtId="164" fontId="2" fillId="2" borderId="83" applyAlignment="1" pivotButton="0" quotePrefix="0" xfId="0">
      <alignment horizontal="center"/>
    </xf>
    <xf numFmtId="0" fontId="0" fillId="0" borderId="21" pivotButton="0" quotePrefix="0" xfId="0"/>
    <xf numFmtId="0" fontId="8" fillId="2" borderId="94" applyAlignment="1" pivotButton="0" quotePrefix="0" xfId="0">
      <alignment horizontal="center"/>
    </xf>
    <xf numFmtId="0" fontId="2" fillId="2" borderId="94" applyAlignment="1" pivotButton="0" quotePrefix="0" xfId="0">
      <alignment horizontal="center"/>
    </xf>
    <xf numFmtId="0" fontId="8" fillId="2" borderId="89" applyAlignment="1" pivotButton="0" quotePrefix="0" xfId="0">
      <alignment horizontal="center"/>
    </xf>
    <xf numFmtId="0" fontId="0" fillId="0" borderId="72" pivotButton="0" quotePrefix="0" xfId="0"/>
    <xf numFmtId="0" fontId="0" fillId="0" borderId="73" pivotButton="0" quotePrefix="0" xfId="0"/>
    <xf numFmtId="164" fontId="2" fillId="2" borderId="90" applyAlignment="1" pivotButton="0" quotePrefix="0" xfId="0">
      <alignment horizontal="center"/>
    </xf>
    <xf numFmtId="0" fontId="0" fillId="0" borderId="71" pivotButton="0" quotePrefix="0" xfId="0"/>
    <xf numFmtId="0" fontId="5" fillId="2" borderId="102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164" fontId="5" fillId="2" borderId="91" applyAlignment="1" pivotButton="0" quotePrefix="0" xfId="0">
      <alignment horizontal="center"/>
    </xf>
    <xf numFmtId="0" fontId="0" fillId="0" borderId="25" pivotButton="0" quotePrefix="0" xfId="0"/>
    <xf numFmtId="0" fontId="2" fillId="2" borderId="86" applyAlignment="1" pivotButton="0" quotePrefix="0" xfId="0">
      <alignment horizontal="left"/>
    </xf>
    <xf numFmtId="0" fontId="0" fillId="0" borderId="28" pivotButton="0" quotePrefix="0" xfId="0"/>
    <xf numFmtId="0" fontId="2" fillId="2" borderId="86" applyAlignment="1" pivotButton="0" quotePrefix="0" xfId="0">
      <alignment horizontal="center"/>
    </xf>
    <xf numFmtId="0" fontId="0" fillId="0" borderId="29" pivotButton="0" quotePrefix="0" xfId="0"/>
    <xf numFmtId="164" fontId="2" fillId="2" borderId="88" applyAlignment="1" pivotButton="0" quotePrefix="0" xfId="0">
      <alignment horizontal="center"/>
    </xf>
    <xf numFmtId="0" fontId="0" fillId="0" borderId="30" pivotButton="0" quotePrefix="0" xfId="0"/>
    <xf numFmtId="0" fontId="0" fillId="0" borderId="74" pivotButton="0" quotePrefix="0" xfId="0"/>
    <xf numFmtId="164" fontId="2" fillId="2" borderId="6" applyAlignment="1" pivotButton="0" quotePrefix="0" xfId="0">
      <alignment horizontal="center"/>
    </xf>
    <xf numFmtId="164" fontId="5" fillId="2" borderId="6" applyAlignment="1" pivotButton="0" quotePrefix="0" xfId="0">
      <alignment horizontal="center"/>
    </xf>
    <xf numFmtId="0" fontId="5" fillId="4" borderId="108" applyAlignment="1" pivotButton="0" quotePrefix="0" xfId="0">
      <alignment horizontal="center" vertical="center" wrapText="1"/>
    </xf>
    <xf numFmtId="0" fontId="5" fillId="4" borderId="110" applyAlignment="1" pivotButton="0" quotePrefix="0" xfId="0">
      <alignment horizontal="center" vertical="center"/>
    </xf>
    <xf numFmtId="0" fontId="0" fillId="0" borderId="76" pivotButton="0" quotePrefix="0" xfId="0"/>
    <xf numFmtId="0" fontId="5" fillId="4" borderId="104" applyAlignment="1" pivotButton="0" quotePrefix="0" xfId="0">
      <alignment horizontal="center" vertical="center" wrapText="1"/>
    </xf>
    <xf numFmtId="0" fontId="5" fillId="4" borderId="40" applyAlignment="1" pivotButton="0" quotePrefix="0" xfId="0">
      <alignment horizontal="center" vertical="center" wrapText="1"/>
    </xf>
    <xf numFmtId="0" fontId="5" fillId="4" borderId="45" applyAlignment="1" pivotButton="0" quotePrefix="0" xfId="0">
      <alignment horizontal="center" vertical="center" wrapText="1"/>
    </xf>
    <xf numFmtId="0" fontId="5" fillId="4" borderId="41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5" pivotButton="0" quotePrefix="0" xfId="0"/>
    <xf numFmtId="0" fontId="5" fillId="8" borderId="67" applyAlignment="1" pivotButton="0" quotePrefix="0" xfId="0">
      <alignment horizontal="center" vertical="center"/>
    </xf>
    <xf numFmtId="0" fontId="0" fillId="0" borderId="64" pivotButton="0" quotePrefix="0" xfId="0"/>
    <xf numFmtId="0" fontId="0" fillId="0" borderId="65" pivotButton="0" quotePrefix="0" xfId="0"/>
    <xf numFmtId="0" fontId="1" fillId="8" borderId="6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993300"/>
    <outlinePr summaryBelow="1" summaryRight="1"/>
    <pageSetUpPr/>
  </sheetPr>
  <dimension ref="A1:AA1001"/>
  <sheetViews>
    <sheetView showGridLines="0" zoomScale="85" zoomScaleNormal="85" workbookViewId="0">
      <selection activeCell="U15" sqref="U15:V15"/>
    </sheetView>
  </sheetViews>
  <sheetFormatPr baseColWidth="8" defaultColWidth="14.3984375" defaultRowHeight="15" customHeight="1"/>
  <cols>
    <col width="8" customWidth="1" style="108" min="1" max="1"/>
    <col width="6.59765625" customWidth="1" style="108" min="2" max="2"/>
    <col width="5.3984375" customWidth="1" style="108" min="3" max="3"/>
    <col width="10.3984375" customWidth="1" style="108" min="4" max="4"/>
    <col width="8.69921875" customWidth="1" style="108" min="5" max="5"/>
    <col width="7.8984375" customWidth="1" style="108" min="6" max="6"/>
    <col width="8.3984375" customWidth="1" style="108" min="7" max="7"/>
    <col width="5.8984375" customWidth="1" style="108" min="8" max="8"/>
    <col width="12.8984375" customWidth="1" style="108" min="9" max="9"/>
    <col width="2.3984375" customWidth="1" style="108" min="10" max="10"/>
    <col width="3.59765625" customWidth="1" style="108" min="11" max="11"/>
    <col width="4.09765625" customWidth="1" style="108" min="12" max="12"/>
    <col width="8" customWidth="1" style="108" min="13" max="13"/>
    <col width="6.59765625" customWidth="1" style="108" min="14" max="14"/>
    <col width="5.3984375" customWidth="1" style="108" min="15" max="15"/>
    <col width="10.3984375" customWidth="1" style="108" min="16" max="16"/>
    <col width="8.69921875" customWidth="1" style="108" min="17" max="17"/>
    <col width="7.8984375" customWidth="1" style="108" min="18" max="18"/>
    <col width="8.3984375" customWidth="1" style="108" min="19" max="19"/>
    <col width="5.8984375" customWidth="1" style="108" min="20" max="20"/>
    <col width="12.8984375" customWidth="1" style="108" min="21" max="21"/>
    <col width="2.3984375" customWidth="1" style="108" min="22" max="22"/>
    <col width="10.3984375" customWidth="1" style="108" min="23" max="23"/>
    <col width="12" customWidth="1" style="108" min="24" max="24"/>
    <col width="11.59765625" customWidth="1" style="108" min="25" max="25"/>
    <col width="10.3984375" customWidth="1" style="108" min="26" max="27"/>
  </cols>
  <sheetData>
    <row r="1" ht="20.25" customHeight="1" s="108">
      <c r="A1" s="153" t="inlineStr">
        <is>
          <t>THÔNG BÁO TIỀN PHÒNG TRỌ</t>
        </is>
      </c>
      <c r="J1" s="1" t="n"/>
      <c r="K1" s="2" t="n"/>
      <c r="L1" s="3" t="n"/>
      <c r="M1" s="153" t="inlineStr">
        <is>
          <t>THÔNG BÁO TIỀN PHÒNG TRỌ</t>
        </is>
      </c>
      <c r="V1" s="1" t="n"/>
      <c r="W1" s="154" t="inlineStr">
        <is>
          <t>Nhấn vào ô màu vàng chọn phòng trọ 
cần in thông báo</t>
        </is>
      </c>
      <c r="AA1" s="4" t="n"/>
    </row>
    <row r="2" ht="12.75" customHeight="1" s="108">
      <c r="A2" s="155" t="n">
        <v>45901</v>
      </c>
      <c r="J2" s="1" t="n"/>
      <c r="K2" s="2" t="n"/>
      <c r="L2" s="3" t="n"/>
      <c r="M2" s="156">
        <f>A2</f>
        <v/>
      </c>
      <c r="V2" s="1" t="n"/>
      <c r="AA2" s="4" t="n"/>
    </row>
    <row r="3" ht="12.75" customHeight="1" s="10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2" t="n"/>
      <c r="L3" s="3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AA3" s="1" t="n"/>
    </row>
    <row r="4" ht="12.75" customHeight="1" s="108">
      <c r="A4" s="157" t="inlineStr">
        <is>
          <t>Kính gửi :</t>
        </is>
      </c>
      <c r="C4" s="158">
        <f>IF($R$6="","",VLOOKUP(F6,SL,17,0))</f>
        <v/>
      </c>
      <c r="F4" s="159" t="inlineStr">
        <is>
          <t>CMND số:</t>
        </is>
      </c>
      <c r="H4" s="158">
        <f>IF($R$6="","",VLOOKUP(F6,SL,18,0))</f>
        <v/>
      </c>
      <c r="J4" s="1" t="n"/>
      <c r="K4" s="2" t="n"/>
      <c r="L4" s="3" t="n"/>
      <c r="M4" s="157" t="inlineStr">
        <is>
          <t>Kính gửi :</t>
        </is>
      </c>
      <c r="O4" s="158">
        <f>IF($R$6="","",VLOOKUP(R6,SL,17,0))</f>
        <v/>
      </c>
      <c r="R4" s="159" t="inlineStr">
        <is>
          <t>CMND số:</t>
        </is>
      </c>
      <c r="T4" s="158">
        <f>IF($R$6="","",VLOOKUP(R6,SL,18,0))</f>
        <v/>
      </c>
      <c r="V4" s="1" t="n"/>
      <c r="W4" s="8" t="n"/>
      <c r="X4" s="160" t="inlineStr">
        <is>
          <t>THIẾT LẬP GIÁ</t>
        </is>
      </c>
      <c r="Y4" s="161" t="n"/>
      <c r="Z4" s="8" t="n"/>
      <c r="AA4" s="1" t="n"/>
    </row>
    <row r="5" ht="8.25" customHeight="1" s="108">
      <c r="A5" s="113" t="n"/>
      <c r="B5" s="113" t="n"/>
      <c r="C5" s="114" t="n"/>
      <c r="D5" s="114" t="n"/>
      <c r="E5" s="114" t="n"/>
      <c r="F5" s="115" t="n"/>
      <c r="G5" s="115" t="n"/>
      <c r="H5" s="114" t="n"/>
      <c r="I5" s="114" t="n"/>
      <c r="J5" s="1" t="n"/>
      <c r="K5" s="2" t="n"/>
      <c r="L5" s="3" t="n"/>
      <c r="M5" s="113" t="n"/>
      <c r="N5" s="113" t="n"/>
      <c r="O5" s="114" t="n"/>
      <c r="P5" s="114" t="n"/>
      <c r="Q5" s="114" t="n"/>
      <c r="R5" s="115" t="n"/>
      <c r="S5" s="115" t="n"/>
      <c r="T5" s="114" t="n"/>
      <c r="U5" s="114" t="n"/>
      <c r="V5" s="1" t="n"/>
      <c r="W5" s="8" t="n"/>
      <c r="X5" s="162" t="n"/>
      <c r="Y5" s="163" t="n"/>
      <c r="Z5" s="8" t="n"/>
      <c r="AA5" s="1" t="n"/>
    </row>
    <row r="6" ht="17.25" customHeight="1" s="108">
      <c r="A6" s="1" t="n"/>
      <c r="B6" s="1" t="n"/>
      <c r="C6" s="164" t="inlineStr">
        <is>
          <t xml:space="preserve">             Phòng số:</t>
        </is>
      </c>
      <c r="F6" s="75">
        <f>R6</f>
        <v/>
      </c>
      <c r="G6" s="1" t="n"/>
      <c r="H6" s="1" t="n"/>
      <c r="I6" s="1" t="n"/>
      <c r="J6" s="1" t="n"/>
      <c r="K6" s="2" t="n"/>
      <c r="L6" s="3" t="n"/>
      <c r="M6" s="1" t="n"/>
      <c r="N6" s="1" t="n"/>
      <c r="O6" s="164" t="inlineStr">
        <is>
          <t xml:space="preserve">             Phòng số:</t>
        </is>
      </c>
      <c r="R6" s="9" t="inlineStr">
        <is>
          <t>3A</t>
        </is>
      </c>
      <c r="S6" s="1" t="n"/>
      <c r="T6" s="1" t="n"/>
      <c r="U6" s="1" t="n"/>
      <c r="V6" s="1" t="n"/>
      <c r="W6" s="8" t="n"/>
      <c r="X6" s="10" t="inlineStr">
        <is>
          <t>PHÒNG:</t>
        </is>
      </c>
      <c r="Y6" s="11" t="n">
        <v>2200000</v>
      </c>
      <c r="Z6" s="8" t="n"/>
      <c r="AA6" s="1" t="n"/>
    </row>
    <row r="7" ht="14.25" customHeight="1" s="108" thickBo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2" t="n"/>
      <c r="L7" s="3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8" t="n"/>
      <c r="X7" s="10" t="inlineStr">
        <is>
          <t>ĐIỆN:</t>
        </is>
      </c>
      <c r="Y7" s="11" t="n">
        <v>2900</v>
      </c>
      <c r="Z7" s="8" t="n"/>
      <c r="AA7" s="1" t="n"/>
    </row>
    <row r="8" ht="14" customHeight="1" s="108" thickTop="1">
      <c r="A8" s="12" t="inlineStr">
        <is>
          <t>STT</t>
        </is>
      </c>
      <c r="B8" s="165" t="inlineStr">
        <is>
          <t xml:space="preserve">Khoản </t>
        </is>
      </c>
      <c r="C8" s="166" t="n"/>
      <c r="D8" s="165" t="inlineStr">
        <is>
          <t>Chi tiết</t>
        </is>
      </c>
      <c r="E8" s="167" t="n"/>
      <c r="F8" s="167" t="n"/>
      <c r="G8" s="167" t="n"/>
      <c r="H8" s="166" t="n"/>
      <c r="I8" s="168" t="inlineStr">
        <is>
          <t>Thành Tiền</t>
        </is>
      </c>
      <c r="J8" s="169" t="n"/>
      <c r="K8" s="2" t="n"/>
      <c r="L8" s="3" t="n"/>
      <c r="M8" s="12" t="inlineStr">
        <is>
          <t>STT</t>
        </is>
      </c>
      <c r="N8" s="165" t="inlineStr">
        <is>
          <t xml:space="preserve">Khoản </t>
        </is>
      </c>
      <c r="O8" s="166" t="n"/>
      <c r="P8" s="165" t="inlineStr">
        <is>
          <t>Chi tiết</t>
        </is>
      </c>
      <c r="Q8" s="167" t="n"/>
      <c r="R8" s="167" t="n"/>
      <c r="S8" s="167" t="n"/>
      <c r="T8" s="166" t="n"/>
      <c r="U8" s="103" t="inlineStr">
        <is>
          <t>Thành Tiền</t>
        </is>
      </c>
      <c r="V8" s="106" t="n"/>
      <c r="W8" s="8" t="n"/>
      <c r="X8" s="10" t="inlineStr">
        <is>
          <t>NƯỚC:</t>
        </is>
      </c>
      <c r="Y8" s="11" t="n">
        <v>12000</v>
      </c>
      <c r="Z8" s="8" t="n"/>
      <c r="AA8" s="1" t="n"/>
    </row>
    <row r="9" ht="14.25" customHeight="1" s="108">
      <c r="A9" s="14" t="n">
        <v>1</v>
      </c>
      <c r="B9" s="170" t="inlineStr">
        <is>
          <t>Phòng</t>
        </is>
      </c>
      <c r="C9" s="171" t="n"/>
      <c r="D9" s="172" t="n"/>
      <c r="E9" s="173" t="n"/>
      <c r="F9" s="173" t="n"/>
      <c r="G9" s="173" t="n"/>
      <c r="H9" s="171" t="n"/>
      <c r="I9" s="174">
        <f>IF($R$6="","",Y6)</f>
        <v/>
      </c>
      <c r="J9" s="175" t="n"/>
      <c r="K9" s="2" t="n"/>
      <c r="L9" s="3" t="n"/>
      <c r="M9" s="14" t="n">
        <v>1</v>
      </c>
      <c r="N9" s="170" t="inlineStr">
        <is>
          <t>Phòng</t>
        </is>
      </c>
      <c r="O9" s="171" t="n"/>
      <c r="P9" s="172" t="n"/>
      <c r="Q9" s="173" t="n"/>
      <c r="R9" s="173" t="n"/>
      <c r="S9" s="173" t="n"/>
      <c r="T9" s="171" t="n"/>
      <c r="U9" s="174">
        <f>IF($R$6="","",Y6)</f>
        <v/>
      </c>
      <c r="V9" s="175" t="n"/>
      <c r="W9" s="8" t="n"/>
      <c r="X9" s="10" t="inlineStr">
        <is>
          <t>RÁC:</t>
        </is>
      </c>
      <c r="Y9" s="11" t="n">
        <v>40000</v>
      </c>
      <c r="Z9" s="8" t="n"/>
      <c r="AA9" s="1" t="n"/>
    </row>
    <row r="10" ht="15" customHeight="1" s="108">
      <c r="A10" s="14" t="n">
        <v>2</v>
      </c>
      <c r="B10" s="170" t="inlineStr">
        <is>
          <t>Điện</t>
        </is>
      </c>
      <c r="C10" s="171" t="n"/>
      <c r="D10" s="176">
        <f>IF($R$6="","",IF(VLOOKUP(F6,SL,4,0)=0,"","(  "&amp;VLOOKUP(F6,SL,3,0)&amp;"  -  "&amp;VLOOKUP(F6,SL,2,0)&amp;"  )  =  "&amp;VLOOKUP(F6,SL,4,0)&amp;"Kw  x 2.900 đ/Kwh"))</f>
        <v/>
      </c>
      <c r="E10" s="173" t="n"/>
      <c r="F10" s="173" t="n"/>
      <c r="G10" s="173" t="n"/>
      <c r="H10" s="171" t="n"/>
      <c r="I10" s="174">
        <f>IF($R$6="","",VLOOKUP(F6,SL,8,0))</f>
        <v/>
      </c>
      <c r="J10" s="175" t="n"/>
      <c r="K10" s="2" t="n"/>
      <c r="L10" s="3" t="n"/>
      <c r="M10" s="14" t="n">
        <v>2</v>
      </c>
      <c r="N10" s="170" t="inlineStr">
        <is>
          <t>Điện</t>
        </is>
      </c>
      <c r="O10" s="171" t="n"/>
      <c r="P10" s="176">
        <f>IF($R$6="","",IF(VLOOKUP(R6,SL,4,0)=0,"","(  "&amp;VLOOKUP(R6,SL,3,0)&amp;"  -  "&amp;VLOOKUP(R6,SL,2,0)&amp;"  )  =  "&amp;VLOOKUP(R6,SL,4,0)&amp;"Kw  x 2.900 đ/Kwh"))</f>
        <v/>
      </c>
      <c r="Q10" s="173" t="n"/>
      <c r="R10" s="173" t="n"/>
      <c r="S10" s="173" t="n"/>
      <c r="T10" s="171" t="n"/>
      <c r="U10" s="174">
        <f>IF($R$6="","",VLOOKUP(R6,SL,8,0))</f>
        <v/>
      </c>
      <c r="V10" s="175" t="n"/>
      <c r="W10" s="8" t="n"/>
      <c r="X10" s="10" t="inlineStr">
        <is>
          <t>INTERNET</t>
        </is>
      </c>
      <c r="Y10" s="11" t="n">
        <v>24000</v>
      </c>
      <c r="Z10" s="8" t="n"/>
      <c r="AA10" s="1" t="n"/>
    </row>
    <row r="11" ht="18.75" customHeight="1" s="108">
      <c r="A11" s="14" t="n">
        <v>3</v>
      </c>
      <c r="B11" s="170" t="inlineStr">
        <is>
          <t>Nước</t>
        </is>
      </c>
      <c r="C11" s="171" t="n"/>
      <c r="D11" s="176">
        <f>IF($R$6="","",IF(VLOOKUP(F6,SL,7,0)=0,"","( "&amp;VLOOKUP(F6,SL,6,0)&amp;"  -  "&amp;VLOOKUP(F6,SL,5,0)&amp;"  )  =  "&amp;VLOOKUP(F6,SL,7,0)&amp;"m3  x 12.000 đ/m3"))</f>
        <v/>
      </c>
      <c r="E11" s="173" t="n"/>
      <c r="F11" s="173" t="n"/>
      <c r="G11" s="173" t="n"/>
      <c r="H11" s="171" t="n"/>
      <c r="I11" s="174">
        <f>IF($R$6="","",VLOOKUP(F6,SL,9,0))</f>
        <v/>
      </c>
      <c r="J11" s="175" t="n"/>
      <c r="K11" s="13" t="n"/>
      <c r="L11" s="3" t="n"/>
      <c r="M11" s="14" t="n">
        <v>3</v>
      </c>
      <c r="N11" s="170" t="inlineStr">
        <is>
          <t>Nước</t>
        </is>
      </c>
      <c r="O11" s="171" t="n"/>
      <c r="P11" s="176">
        <f>IF($R$6="","",IF(VLOOKUP(R6,SL,7,0)=0,"","( "&amp;VLOOKUP(R6,SL,6,0)&amp;"  -  "&amp;VLOOKUP(R6,SL,5,0)&amp;"  )  =  "&amp;VLOOKUP(R6,SL,7,0)&amp;"m3  x 12.000 đ/m3"))</f>
        <v/>
      </c>
      <c r="Q11" s="173" t="n"/>
      <c r="R11" s="173" t="n"/>
      <c r="S11" s="173" t="n"/>
      <c r="T11" s="171" t="n"/>
      <c r="U11" s="174">
        <f>IF($R$6="","",VLOOKUP(R6,SL,9,0))</f>
        <v/>
      </c>
      <c r="V11" s="175" t="n"/>
      <c r="W11" s="8" t="n"/>
      <c r="X11" s="8" t="n"/>
      <c r="Y11" s="8" t="n"/>
      <c r="Z11" s="8" t="n"/>
      <c r="AA11" s="1" t="n"/>
    </row>
    <row r="12" ht="18.75" customHeight="1" s="108">
      <c r="A12" s="14" t="n">
        <v>4</v>
      </c>
      <c r="B12" s="170" t="inlineStr">
        <is>
          <t>Điện hao tải</t>
        </is>
      </c>
      <c r="C12" s="171" t="n"/>
      <c r="D12" s="176">
        <f>IF($R$6="","",IF(VLOOKUP(R6,SL,4,0)=0,"","( "&amp;VLOOKUP(R6,SL,4,0)&amp;"Kw x 7% )  = "&amp;VLOOKUP(R6,SL,13,0)&amp;"Kwh  x  2.900 đ/Kwh"))</f>
        <v/>
      </c>
      <c r="E12" s="173" t="n"/>
      <c r="F12" s="173" t="n"/>
      <c r="G12" s="173" t="n"/>
      <c r="H12" s="171" t="n"/>
      <c r="I12" s="174">
        <f>IF($R$6="","",VLOOKUP(F6,SL,14,0))</f>
        <v/>
      </c>
      <c r="J12" s="175" t="n"/>
      <c r="K12" s="2" t="n"/>
      <c r="L12" s="3" t="n"/>
      <c r="M12" s="14" t="n">
        <v>4</v>
      </c>
      <c r="N12" s="170" t="inlineStr">
        <is>
          <t>Điện hao tải</t>
        </is>
      </c>
      <c r="O12" s="171" t="n"/>
      <c r="P12" s="176">
        <f>IF($R$6="","",IF(VLOOKUP(R6,SL,4,0)=0,"","( "&amp;VLOOKUP(R6,SL,4,0)&amp;"Kw x 7% )  = "&amp;VLOOKUP(R6,SL,13,0)&amp;"Kwh  x  2.900 đ/Kwh"))</f>
        <v/>
      </c>
      <c r="Q12" s="173" t="n"/>
      <c r="R12" s="173" t="n"/>
      <c r="S12" s="173" t="n"/>
      <c r="T12" s="171" t="n"/>
      <c r="U12" s="174">
        <f>IF($R$6="","",VLOOKUP(R6,SL,14,0))</f>
        <v/>
      </c>
      <c r="V12" s="175" t="n"/>
      <c r="W12" s="1" t="n"/>
      <c r="X12" s="1" t="n"/>
      <c r="Y12" s="1" t="n"/>
      <c r="Z12" s="1" t="n"/>
      <c r="AA12" s="1" t="n"/>
    </row>
    <row r="13" ht="18.75" customHeight="1" s="108">
      <c r="A13" s="14" t="n">
        <v>5</v>
      </c>
      <c r="B13" s="170" t="inlineStr">
        <is>
          <t>Rác</t>
        </is>
      </c>
      <c r="C13" s="171" t="n"/>
      <c r="D13" s="177" t="n"/>
      <c r="E13" s="173" t="n"/>
      <c r="F13" s="173" t="n"/>
      <c r="G13" s="173" t="n"/>
      <c r="H13" s="171" t="n"/>
      <c r="I13" s="174">
        <f>IF($R$6="","",VLOOKUP(F6,SL,11,0))</f>
        <v/>
      </c>
      <c r="J13" s="175" t="n"/>
      <c r="K13" s="2" t="n"/>
      <c r="L13" s="3" t="n"/>
      <c r="M13" s="14" t="n">
        <v>5</v>
      </c>
      <c r="N13" s="170" t="inlineStr">
        <is>
          <t>Rác</t>
        </is>
      </c>
      <c r="O13" s="171" t="n"/>
      <c r="P13" s="177" t="n"/>
      <c r="Q13" s="173" t="n"/>
      <c r="R13" s="173" t="n"/>
      <c r="S13" s="173" t="n"/>
      <c r="T13" s="171" t="n"/>
      <c r="U13" s="174">
        <f>IF($R$6="","",VLOOKUP(R6,SL,11,0))</f>
        <v/>
      </c>
      <c r="V13" s="175" t="n"/>
      <c r="W13" s="1" t="n"/>
      <c r="X13" s="1" t="n"/>
      <c r="Y13" s="1" t="n"/>
      <c r="Z13" s="1" t="n"/>
      <c r="AA13" s="1" t="n"/>
    </row>
    <row r="14" ht="18.75" customHeight="1" s="108">
      <c r="A14" s="14" t="n">
        <v>6</v>
      </c>
      <c r="B14" s="170" t="inlineStr">
        <is>
          <t>Internet</t>
        </is>
      </c>
      <c r="C14" s="171" t="n"/>
      <c r="D14" s="178" t="n"/>
      <c r="E14" s="179" t="n"/>
      <c r="F14" s="179" t="n"/>
      <c r="G14" s="179" t="n"/>
      <c r="H14" s="180" t="n"/>
      <c r="I14" s="181">
        <f>IF($R$6="","",VLOOKUP(F6,SL,12,0))</f>
        <v/>
      </c>
      <c r="J14" s="182" t="n"/>
      <c r="K14" s="2" t="n"/>
      <c r="L14" s="3" t="n"/>
      <c r="M14" s="14" t="n">
        <v>6</v>
      </c>
      <c r="N14" s="170" t="inlineStr">
        <is>
          <t>Internet</t>
        </is>
      </c>
      <c r="O14" s="171" t="n"/>
      <c r="P14" s="178" t="n"/>
      <c r="Q14" s="179" t="n"/>
      <c r="R14" s="179" t="n"/>
      <c r="S14" s="179" t="n"/>
      <c r="T14" s="180" t="n"/>
      <c r="U14" s="174">
        <f>IF($R$6="","",VLOOKUP(R6,SL,12,0))</f>
        <v/>
      </c>
      <c r="V14" s="175" t="n"/>
      <c r="W14" s="1" t="n"/>
      <c r="X14" s="1" t="n"/>
      <c r="Y14" s="1" t="n"/>
      <c r="Z14" s="1" t="n"/>
      <c r="AA14" s="1" t="n"/>
    </row>
    <row r="15" ht="18.75" customHeight="1" s="108">
      <c r="A15" s="15" t="n"/>
      <c r="B15" s="170" t="n"/>
      <c r="C15" s="171" t="n"/>
      <c r="D15" s="183" t="inlineStr">
        <is>
          <t>Cộng:</t>
        </is>
      </c>
      <c r="E15" s="184" t="n"/>
      <c r="F15" s="184" t="n"/>
      <c r="G15" s="184" t="n"/>
      <c r="H15" s="185" t="n"/>
      <c r="I15" s="186">
        <f>SUM(I9:I14)</f>
        <v/>
      </c>
      <c r="J15" s="187" t="n"/>
      <c r="K15" s="2" t="n"/>
      <c r="L15" s="3" t="n"/>
      <c r="M15" s="15" t="n"/>
      <c r="N15" s="170" t="n"/>
      <c r="O15" s="171" t="n"/>
      <c r="P15" s="183" t="inlineStr">
        <is>
          <t>Cộng:</t>
        </is>
      </c>
      <c r="Q15" s="184" t="n"/>
      <c r="R15" s="184" t="n"/>
      <c r="S15" s="184" t="n"/>
      <c r="T15" s="185" t="n"/>
      <c r="U15" s="186">
        <f>SUM(U9:U14)</f>
        <v/>
      </c>
      <c r="V15" s="187" t="n"/>
      <c r="W15" s="1" t="n"/>
      <c r="X15" s="1" t="n"/>
      <c r="Y15" s="1" t="n"/>
      <c r="Z15" s="1" t="n"/>
      <c r="AA15" s="1" t="n"/>
    </row>
    <row r="16" ht="18.75" customHeight="1" s="108" thickBot="1">
      <c r="A16" s="16" t="n"/>
      <c r="B16" s="188" t="n"/>
      <c r="C16" s="189" t="n"/>
      <c r="D16" s="190" t="n"/>
      <c r="E16" s="191" t="n"/>
      <c r="F16" s="191" t="n"/>
      <c r="G16" s="191" t="n"/>
      <c r="H16" s="189" t="n"/>
      <c r="I16" s="192" t="n"/>
      <c r="J16" s="193" t="n"/>
      <c r="K16" s="2" t="n"/>
      <c r="L16" s="3" t="n"/>
      <c r="M16" s="16" t="n"/>
      <c r="N16" s="188" t="n"/>
      <c r="O16" s="189" t="n"/>
      <c r="P16" s="190" t="n"/>
      <c r="Q16" s="191" t="n"/>
      <c r="R16" s="191" t="n"/>
      <c r="S16" s="191" t="n"/>
      <c r="T16" s="189" t="n"/>
      <c r="U16" s="127" t="n"/>
      <c r="V16" s="128" t="n"/>
      <c r="W16" s="1" t="n"/>
      <c r="X16" s="1" t="n"/>
      <c r="Y16" s="1" t="n"/>
      <c r="Z16" s="1" t="n"/>
      <c r="AA16" s="1" t="n"/>
    </row>
    <row r="17" ht="18.75" customHeight="1" s="108" thickTop="1">
      <c r="A17" s="1" t="n"/>
      <c r="B17" s="131" t="n"/>
      <c r="C17" s="194" t="n"/>
      <c r="D17" s="131" t="n"/>
      <c r="E17" s="194" t="n"/>
      <c r="F17" s="194" t="n"/>
      <c r="G17" s="194" t="n"/>
      <c r="H17" s="194" t="n"/>
      <c r="I17" s="1" t="n"/>
      <c r="J17" s="1" t="n"/>
      <c r="K17" s="2" t="n"/>
      <c r="L17" s="3" t="n"/>
      <c r="M17" s="1" t="n"/>
      <c r="N17" s="131" t="n"/>
      <c r="O17" s="194" t="n"/>
      <c r="P17" s="131" t="n"/>
      <c r="Q17" s="194" t="n"/>
      <c r="R17" s="194" t="n"/>
      <c r="S17" s="194" t="n"/>
      <c r="T17" s="194" t="n"/>
      <c r="U17" s="1" t="n"/>
      <c r="V17" s="1" t="n"/>
      <c r="W17" s="1" t="n"/>
      <c r="X17" s="1" t="n"/>
      <c r="Y17" s="1" t="n"/>
      <c r="Z17" s="1" t="n"/>
      <c r="AA17" s="1" t="n"/>
    </row>
    <row r="18" ht="18.75" customHeight="1" s="108">
      <c r="A18" s="17" t="inlineStr">
        <is>
          <t>Phần Thanh toán: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2" t="n"/>
      <c r="L18" s="3" t="n"/>
      <c r="M18" s="17" t="inlineStr">
        <is>
          <t>Phần Thanh toán: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.75" customHeight="1" s="108">
      <c r="A19" s="1" t="inlineStr">
        <is>
          <t>-Số tiền còn nợ tháng trước :</t>
        </is>
      </c>
      <c r="B19" s="1" t="n"/>
      <c r="C19" s="1" t="n"/>
      <c r="D19" s="1" t="n"/>
      <c r="E19" s="195">
        <f>IF(R6="","",VLOOKUP(R6,SL,15,0))</f>
        <v/>
      </c>
      <c r="G19" s="1" t="n"/>
      <c r="H19" s="1" t="n"/>
      <c r="I19" s="1" t="n"/>
      <c r="J19" s="1" t="n"/>
      <c r="K19" s="2" t="n"/>
      <c r="L19" s="3" t="n"/>
      <c r="M19" s="1" t="inlineStr">
        <is>
          <t>-Số tiền còn nợ tháng trước :</t>
        </is>
      </c>
      <c r="N19" s="1" t="n"/>
      <c r="O19" s="1" t="n"/>
      <c r="P19" s="1" t="n"/>
      <c r="Q19" s="195">
        <f>IF(R6="","",VLOOKUP(R6,SL,15,0))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2.75" customHeight="1" s="108">
      <c r="A20" s="1" t="inlineStr">
        <is>
          <t>-Phải trả tháng này:</t>
        </is>
      </c>
      <c r="B20" s="1" t="n"/>
      <c r="C20" s="1" t="n"/>
      <c r="D20" s="1" t="n"/>
      <c r="E20" s="195">
        <f>I15</f>
        <v/>
      </c>
      <c r="G20" s="1" t="n"/>
      <c r="H20" s="1" t="n"/>
      <c r="I20" s="1" t="n"/>
      <c r="J20" s="1" t="n"/>
      <c r="K20" s="2" t="n"/>
      <c r="L20" s="3" t="n"/>
      <c r="M20" s="1" t="inlineStr">
        <is>
          <t>-Phải trả tháng này:</t>
        </is>
      </c>
      <c r="N20" s="1" t="n"/>
      <c r="O20" s="1" t="n"/>
      <c r="P20" s="1" t="n"/>
      <c r="Q20" s="195">
        <f>U15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2.75" customHeight="1" s="108">
      <c r="A21" s="18" t="n"/>
      <c r="B21" s="18" t="inlineStr">
        <is>
          <t>Tổng Cộng:</t>
        </is>
      </c>
      <c r="C21" s="18" t="n"/>
      <c r="D21" s="18" t="n"/>
      <c r="E21" s="196">
        <f>SUM(E18:F20)</f>
        <v/>
      </c>
      <c r="G21" s="18" t="n"/>
      <c r="H21" s="18" t="n"/>
      <c r="I21" s="18" t="n"/>
      <c r="J21" s="18" t="n"/>
      <c r="K21" s="2" t="n"/>
      <c r="L21" s="3" t="n"/>
      <c r="M21" s="18" t="n"/>
      <c r="N21" s="18" t="inlineStr">
        <is>
          <t>Tổng Cộng:</t>
        </is>
      </c>
      <c r="O21" s="18" t="n"/>
      <c r="P21" s="18" t="n"/>
      <c r="Q21" s="196">
        <f>SUM(Q18:R20)</f>
        <v/>
      </c>
      <c r="S21" s="18" t="n"/>
      <c r="T21" s="18" t="n"/>
      <c r="U21" s="18" t="n"/>
      <c r="V21" s="18" t="n"/>
      <c r="W21" s="1" t="n"/>
      <c r="X21" s="1" t="n"/>
      <c r="Y21" s="1" t="n"/>
      <c r="Z21" s="1" t="n"/>
      <c r="AA21" s="1" t="n"/>
    </row>
    <row r="22" ht="12.75" customHeight="1" s="108">
      <c r="A22" s="1" t="inlineStr">
        <is>
          <t>Chi tiết thanh toán: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2" t="n"/>
      <c r="L22" s="3" t="n"/>
      <c r="M22" s="1" t="inlineStr">
        <is>
          <t>Chi tiết thanh toán: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2.75" customHeight="1" s="108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" t="n"/>
      <c r="L23" s="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1" t="n"/>
      <c r="X23" s="1" t="n"/>
      <c r="Y23" s="1" t="n"/>
      <c r="Z23" s="1" t="n"/>
      <c r="AA23" s="1" t="n"/>
    </row>
    <row r="24" ht="19.5" customHeight="1" s="108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19" t="n"/>
      <c r="L24" s="20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18" t="n"/>
      <c r="X24" s="18" t="n"/>
      <c r="Y24" s="18" t="n"/>
      <c r="Z24" s="18" t="n"/>
      <c r="AA24" s="18" t="n"/>
    </row>
    <row r="25" ht="19.5" customHeight="1" s="108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" t="n"/>
      <c r="L25" s="3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1" t="n"/>
      <c r="X25" s="1" t="n"/>
      <c r="Y25" s="1" t="n"/>
      <c r="Z25" s="1" t="n"/>
      <c r="AA25" s="1" t="n"/>
    </row>
    <row r="26" ht="19.5" customHeight="1" s="108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" t="n"/>
      <c r="L26" s="3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1" t="n"/>
      <c r="X26" s="1" t="n"/>
      <c r="Y26" s="1" t="n"/>
      <c r="Z26" s="1" t="n"/>
      <c r="AA26" s="1" t="n"/>
    </row>
    <row r="27" ht="19.5" customHeight="1" s="108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" t="n"/>
      <c r="L27" s="3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1" t="n"/>
      <c r="X27" s="1" t="n"/>
      <c r="Y27" s="1" t="n"/>
      <c r="Z27" s="1" t="n"/>
      <c r="AA27" s="1" t="n"/>
    </row>
    <row r="28" ht="19.5" customHeight="1" s="10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" t="n"/>
      <c r="L28" s="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1" t="n"/>
      <c r="X28" s="1" t="n"/>
      <c r="Y28" s="1" t="n"/>
      <c r="Z28" s="1" t="n"/>
      <c r="AA28" s="1" t="n"/>
    </row>
    <row r="29" hidden="1" ht="19.5" customHeight="1" s="108">
      <c r="K29" s="2" t="n"/>
      <c r="L29" s="3" t="n"/>
      <c r="W29" s="1" t="n"/>
      <c r="X29" s="1" t="n"/>
      <c r="Y29" s="1" t="n"/>
      <c r="Z29" s="1" t="n"/>
      <c r="AA29" s="1" t="n"/>
    </row>
    <row r="30" hidden="1" ht="19.5" customHeight="1" s="108">
      <c r="K30" s="2" t="n"/>
      <c r="L30" s="3" t="n"/>
      <c r="W30" s="1" t="n"/>
      <c r="X30" s="1" t="n"/>
      <c r="Y30" s="1" t="n"/>
      <c r="Z30" s="1" t="n"/>
      <c r="AA30" s="1" t="n"/>
    </row>
    <row r="31" hidden="1" ht="15" customHeight="1" s="108">
      <c r="K31" s="2" t="n"/>
      <c r="L31" s="3" t="n"/>
      <c r="W31" s="1" t="n"/>
      <c r="X31" s="1" t="n"/>
      <c r="Y31" s="1" t="n"/>
      <c r="Z31" s="1" t="n"/>
      <c r="AA31" s="1" t="n"/>
    </row>
    <row r="32" hidden="1" ht="19.5" customHeight="1" s="108">
      <c r="A32" s="1" t="n"/>
      <c r="B32" s="18" t="inlineStr">
        <is>
          <t>Quản lý Nhà trọ</t>
        </is>
      </c>
      <c r="C32" s="18" t="n"/>
      <c r="D32" s="18" t="n"/>
      <c r="E32" s="18" t="n"/>
      <c r="F32" s="18" t="n"/>
      <c r="G32" s="1" t="n"/>
      <c r="H32" s="18" t="inlineStr">
        <is>
          <t>Người Trọ</t>
        </is>
      </c>
      <c r="I32" s="1" t="n"/>
      <c r="J32" s="1" t="n"/>
      <c r="K32" s="2" t="n"/>
      <c r="L32" s="3" t="n"/>
      <c r="M32" s="1" t="n"/>
      <c r="N32" s="18" t="inlineStr">
        <is>
          <t>Quản lý Nhà trọ</t>
        </is>
      </c>
      <c r="O32" s="18" t="n"/>
      <c r="P32" s="18" t="n"/>
      <c r="Q32" s="18" t="n"/>
      <c r="R32" s="18" t="n"/>
      <c r="S32" s="1" t="n"/>
      <c r="T32" s="18" t="inlineStr">
        <is>
          <t>Người Trọ</t>
        </is>
      </c>
      <c r="U32" s="1" t="n"/>
      <c r="V32" s="1" t="n"/>
      <c r="W32" s="1" t="n"/>
      <c r="X32" s="1" t="n"/>
      <c r="Y32" s="1" t="n"/>
      <c r="Z32" s="1" t="n"/>
      <c r="AA32" s="1" t="n"/>
    </row>
    <row r="33" ht="19.5" customHeight="1" s="10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2" t="n"/>
      <c r="L33" s="3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9.5" customHeight="1" s="10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2" t="n"/>
      <c r="L34" s="3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9.5" customHeight="1" s="10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2" t="n"/>
      <c r="L35" s="3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9.5" customHeight="1" s="10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9.5" customHeight="1" s="10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10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9.5" customHeight="1" s="10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9.5" customHeight="1" s="10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9.5" customHeight="1" s="10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10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10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10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10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10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10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10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10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10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10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10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10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10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10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10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10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10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10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10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10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10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10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10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10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10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10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10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10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10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10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10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10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10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10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10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10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10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10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10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10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10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10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10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10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10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10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10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10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10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10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10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10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10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10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10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10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10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10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10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10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10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10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10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10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10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10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10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10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10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10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10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10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10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10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10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10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10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10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10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10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10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10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10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10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10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10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10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10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10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10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10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10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10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10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10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10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10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10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10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10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10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10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10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10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10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10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10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10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10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10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10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10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10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10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10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10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10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10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10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10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10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10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10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10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10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10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10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10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10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10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10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10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10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10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10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10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10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10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10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10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10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10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10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10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10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10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10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10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10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10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10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10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10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10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10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10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10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10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10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10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10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10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10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10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10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1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10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10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10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10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10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10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10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10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10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10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10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10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10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10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10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10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10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10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10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10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10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10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10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10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10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10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10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10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10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10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10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10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10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10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10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10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10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10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10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10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10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10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10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10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10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10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10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10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10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10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10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10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10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10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10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10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10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10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10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10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10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10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10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10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10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10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10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10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10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10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10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10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10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10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10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10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10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10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10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10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10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10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10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10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10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10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10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10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10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10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10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10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10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10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10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10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10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10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10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1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10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10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10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10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10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10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10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10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10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10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10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10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10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10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10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10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10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10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10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10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10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10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10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10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10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10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10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10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10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10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10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10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10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10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10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10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10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10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10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10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10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10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10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10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10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10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10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10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10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10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10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10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10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10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10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10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10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10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10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10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10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10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10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10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10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10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10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10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10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10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10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10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10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10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10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10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10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10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10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10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10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10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10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10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10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10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10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10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10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10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10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10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10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10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10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10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10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10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10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1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10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10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10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10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10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10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10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10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10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10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10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10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10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10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10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10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10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10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10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10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10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10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10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10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10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10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10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10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10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10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10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10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10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10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10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10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10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10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10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10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10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10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10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10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10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10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10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10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10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10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10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10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10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10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10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10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10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10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10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10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10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10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10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10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10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10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10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10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10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10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10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10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10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10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10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10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10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10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10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10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10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10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10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10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10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10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10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10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10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10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10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10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10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10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10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10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10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10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10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1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10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10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10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10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10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10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10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10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10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10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10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10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10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10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10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10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10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10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10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10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10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10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10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10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10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10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10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10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10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10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10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10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10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10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10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10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10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10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10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10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10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10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10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10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10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10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10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10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10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10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10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10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10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10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10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10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10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10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10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10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10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10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10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10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10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10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10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10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10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10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10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10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10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10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10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10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10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10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10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10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10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10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10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10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10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10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10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10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10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10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10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10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10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10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10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10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10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10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10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1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10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10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10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10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10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10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10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10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10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10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10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10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10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10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10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10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10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10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10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10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10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10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10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10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10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10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10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10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10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10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10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10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10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10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10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10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10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10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10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10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10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10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10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10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10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10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10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10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10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10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10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10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10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10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10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10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10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10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10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10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10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10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10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10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10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10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10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10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10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10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10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10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10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10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10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10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10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10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10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10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10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10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10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10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10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10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10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10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10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10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10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10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10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10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10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10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10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10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10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1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10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10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10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10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10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10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10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10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10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10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10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10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10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10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10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10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10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10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10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10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10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10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10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10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10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10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10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10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10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10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10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10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10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10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10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10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10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10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10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10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10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10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10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10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10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10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10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10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10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10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10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10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10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10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10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10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10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10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10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10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10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10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10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10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10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10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10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10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10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10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10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10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10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10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10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10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10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10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10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10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10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10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10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10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10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10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10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10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10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10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10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10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10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10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10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10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10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10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10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1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10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10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10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10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10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10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10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10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10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10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10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10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10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10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10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10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10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10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10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10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10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10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10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10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10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10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10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10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10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10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10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10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10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10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10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10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10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10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10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10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10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10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10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10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10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10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10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10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10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10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10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10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10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10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10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10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10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10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10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10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10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10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10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10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10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10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10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10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10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10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10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10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10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10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10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10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10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10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10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10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10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10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10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10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10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10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10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10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10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10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10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10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10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10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10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10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10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10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10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1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10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10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10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10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10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10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10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10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10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10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10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10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10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10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10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10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10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10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10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10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10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10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10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10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10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10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10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10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10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10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10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10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10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10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10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10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10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10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10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10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10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10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10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10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10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10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10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10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10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10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10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10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10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10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10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10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10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10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10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10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10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10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10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10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10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10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10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10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10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10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10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10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10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10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10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10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10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10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10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10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10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10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10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10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10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10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10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10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10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10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10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10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 s="108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</sheetData>
  <mergeCells count="78">
    <mergeCell ref="Q21:R21"/>
    <mergeCell ref="N11:O11"/>
    <mergeCell ref="D10:H10"/>
    <mergeCell ref="U15:V15"/>
    <mergeCell ref="O4:Q4"/>
    <mergeCell ref="P10:T10"/>
    <mergeCell ref="B12:C12"/>
    <mergeCell ref="A2:I2"/>
    <mergeCell ref="I16:J16"/>
    <mergeCell ref="N12:O12"/>
    <mergeCell ref="D11:H11"/>
    <mergeCell ref="B14:C14"/>
    <mergeCell ref="N14:O14"/>
    <mergeCell ref="B13:C13"/>
    <mergeCell ref="D9:H9"/>
    <mergeCell ref="P12:T12"/>
    <mergeCell ref="N15:O15"/>
    <mergeCell ref="U14:V14"/>
    <mergeCell ref="M1:U1"/>
    <mergeCell ref="I13:J13"/>
    <mergeCell ref="P14:T14"/>
    <mergeCell ref="B16:C16"/>
    <mergeCell ref="I15:J15"/>
    <mergeCell ref="N16:O16"/>
    <mergeCell ref="B11:C11"/>
    <mergeCell ref="U13:V13"/>
    <mergeCell ref="D17:H17"/>
    <mergeCell ref="P17:T17"/>
    <mergeCell ref="I8:J8"/>
    <mergeCell ref="N13:O13"/>
    <mergeCell ref="D12:H12"/>
    <mergeCell ref="B15:C15"/>
    <mergeCell ref="I10:J10"/>
    <mergeCell ref="A1:I1"/>
    <mergeCell ref="U10:V10"/>
    <mergeCell ref="D14:H14"/>
    <mergeCell ref="W1:Z3"/>
    <mergeCell ref="I9:J9"/>
    <mergeCell ref="F4:G4"/>
    <mergeCell ref="U9:V9"/>
    <mergeCell ref="I11:J11"/>
    <mergeCell ref="E20:F20"/>
    <mergeCell ref="Q20:R20"/>
    <mergeCell ref="P8:T8"/>
    <mergeCell ref="B17:C17"/>
    <mergeCell ref="N8:O8"/>
    <mergeCell ref="N17:O17"/>
    <mergeCell ref="U12:V12"/>
    <mergeCell ref="D16:H16"/>
    <mergeCell ref="P16:T16"/>
    <mergeCell ref="N10:O10"/>
    <mergeCell ref="B9:C9"/>
    <mergeCell ref="C6:E6"/>
    <mergeCell ref="A4:B4"/>
    <mergeCell ref="N9:O9"/>
    <mergeCell ref="D8:H8"/>
    <mergeCell ref="O6:Q6"/>
    <mergeCell ref="C4:E4"/>
    <mergeCell ref="M2:U2"/>
    <mergeCell ref="H4:I4"/>
    <mergeCell ref="R4:S4"/>
    <mergeCell ref="X4:Y5"/>
    <mergeCell ref="P9:T9"/>
    <mergeCell ref="T4:U4"/>
    <mergeCell ref="U11:V11"/>
    <mergeCell ref="E19:F19"/>
    <mergeCell ref="D13:H13"/>
    <mergeCell ref="P11:T11"/>
    <mergeCell ref="Q19:R19"/>
    <mergeCell ref="B8:C8"/>
    <mergeCell ref="I12:J12"/>
    <mergeCell ref="B10:C10"/>
    <mergeCell ref="I14:J14"/>
    <mergeCell ref="P13:T13"/>
    <mergeCell ref="D15:H15"/>
    <mergeCell ref="P15:T15"/>
    <mergeCell ref="M4:N4"/>
    <mergeCell ref="E21:F21"/>
  </mergeCells>
  <dataValidations count="1">
    <dataValidation sqref="R6" showDropDown="0" showInputMessage="1" showErrorMessage="1" allowBlank="1" prompt=" - " type="list">
      <formula1>Phong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/>
  </sheetPr>
  <dimension ref="A1:AB997"/>
  <sheetViews>
    <sheetView showGridLines="0" tabSelected="1" zoomScale="70" zoomScaleNormal="70" workbookViewId="0">
      <pane ySplit="3" topLeftCell="A4" activePane="bottomLeft" state="frozen"/>
      <selection pane="bottomLeft" activeCell="F15" sqref="F15"/>
    </sheetView>
  </sheetViews>
  <sheetFormatPr baseColWidth="8" defaultColWidth="14.3984375" defaultRowHeight="15" customHeight="1"/>
  <cols>
    <col width="30.59765625" customWidth="1" style="108" min="1" max="1"/>
    <col width="9.59765625" customWidth="1" style="108" min="2" max="3"/>
    <col width="13.296875" customWidth="1" style="108" min="4" max="4"/>
    <col width="9.59765625" customWidth="1" style="108" min="5" max="6"/>
    <col width="11.296875" customWidth="1" style="108" min="7" max="7"/>
    <col width="15.8984375" customWidth="1" style="108" min="8" max="8"/>
    <col width="17.296875" customWidth="1" style="108" min="9" max="9"/>
    <col width="15.8984375" customWidth="1" style="108" min="10" max="10"/>
    <col width="15" customWidth="1" style="108" min="11" max="14"/>
    <col width="15.59765625" customWidth="1" style="108" min="15" max="15"/>
    <col width="19.296875" customWidth="1" style="108" min="16" max="16"/>
    <col width="25.59765625" customWidth="1" style="108" min="17" max="17"/>
    <col width="19.69921875" customWidth="1" style="108" min="18" max="18"/>
    <col width="16" customWidth="1" style="108" min="19" max="19"/>
    <col width="9.09765625" customWidth="1" style="108" min="20" max="28"/>
  </cols>
  <sheetData>
    <row r="1" ht="15.75" customHeight="1" s="108">
      <c r="A1" s="25" t="n">
        <v>1</v>
      </c>
      <c r="B1" s="25" t="n">
        <v>2</v>
      </c>
      <c r="C1" s="25" t="n">
        <v>3</v>
      </c>
      <c r="D1" s="25" t="n">
        <v>4</v>
      </c>
      <c r="E1" s="25" t="n">
        <v>5</v>
      </c>
      <c r="F1" s="25" t="n">
        <v>6</v>
      </c>
      <c r="G1" s="25" t="n">
        <v>7</v>
      </c>
      <c r="H1" s="25" t="n">
        <v>8</v>
      </c>
      <c r="I1" s="25" t="n">
        <v>9</v>
      </c>
      <c r="J1" s="25" t="n">
        <v>10</v>
      </c>
      <c r="K1" s="25" t="n">
        <v>11</v>
      </c>
      <c r="L1" s="25" t="n">
        <v>12</v>
      </c>
      <c r="M1" s="25" t="n">
        <v>13</v>
      </c>
      <c r="N1" s="25" t="n">
        <v>14</v>
      </c>
      <c r="O1" s="25" t="n">
        <v>15</v>
      </c>
      <c r="P1" s="25" t="n">
        <v>16</v>
      </c>
      <c r="Q1" s="25" t="n">
        <v>17</v>
      </c>
      <c r="R1" s="25" t="n">
        <v>18</v>
      </c>
      <c r="S1" s="25" t="n">
        <v>19</v>
      </c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2.25" customHeight="1" s="108">
      <c r="A2" s="197" t="inlineStr">
        <is>
          <t>Số phòng</t>
        </is>
      </c>
      <c r="B2" s="198" t="inlineStr">
        <is>
          <t>Số công tơ điện</t>
        </is>
      </c>
      <c r="C2" s="199" t="n"/>
      <c r="D2" s="200" t="inlineStr">
        <is>
          <t>SỐ ĐIỆN
TIÊU THỤ</t>
        </is>
      </c>
      <c r="E2" s="198" t="inlineStr">
        <is>
          <t>Nước</t>
        </is>
      </c>
      <c r="F2" s="199" t="n"/>
      <c r="G2" s="200" t="inlineStr">
        <is>
          <t>SỐ NƯỚC
TIÊU THỤ</t>
        </is>
      </c>
      <c r="H2" s="26" t="inlineStr">
        <is>
          <t>TIỀN ĐIỆN /SỐ</t>
        </is>
      </c>
      <c r="I2" s="27" t="inlineStr">
        <is>
          <t>TIỀN NƯỚC/ KHỐI</t>
        </is>
      </c>
      <c r="J2" s="201" t="inlineStr">
        <is>
          <t>TIỀN PHÒNG</t>
        </is>
      </c>
      <c r="K2" s="201" t="inlineStr">
        <is>
          <t>RÁC</t>
        </is>
      </c>
      <c r="L2" s="201" t="inlineStr">
        <is>
          <t>INTERNET</t>
        </is>
      </c>
      <c r="M2" s="201" t="inlineStr">
        <is>
          <t>ĐIỆN HAO TẢI (Kwh)</t>
        </is>
      </c>
      <c r="N2" s="201" t="inlineStr">
        <is>
          <t>TIỀN ĐIỆN HAO TẢI</t>
        </is>
      </c>
      <c r="O2" s="201" t="inlineStr">
        <is>
          <t>NỢ CŨ</t>
        </is>
      </c>
      <c r="P2" s="200" t="inlineStr">
        <is>
          <t>TỔNG CỘNG</t>
        </is>
      </c>
      <c r="Q2" s="202" t="inlineStr">
        <is>
          <t>HỌ TÊN</t>
        </is>
      </c>
      <c r="R2" s="145" t="inlineStr">
        <is>
          <t>CMND</t>
        </is>
      </c>
      <c r="S2" s="203" t="inlineStr">
        <is>
          <t>KÍ TÊN</t>
        </is>
      </c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</row>
    <row r="3" ht="28.5" customHeight="1" s="108" thickBot="1">
      <c r="A3" s="204" t="n"/>
      <c r="B3" s="28" t="inlineStr">
        <is>
          <t>Số cũ</t>
        </is>
      </c>
      <c r="C3" s="29" t="inlineStr">
        <is>
          <t>Số mới</t>
        </is>
      </c>
      <c r="D3" s="205" t="n"/>
      <c r="E3" s="28" t="inlineStr">
        <is>
          <t>Số cũ</t>
        </is>
      </c>
      <c r="F3" s="29" t="inlineStr">
        <is>
          <t>Số mới</t>
        </is>
      </c>
      <c r="G3" s="205" t="n"/>
      <c r="H3" s="30">
        <f>'Thông Báo tháng'!$Y$7</f>
        <v/>
      </c>
      <c r="I3" s="31">
        <f>'Thông Báo tháng'!$Y$8</f>
        <v/>
      </c>
      <c r="J3" s="206" t="n"/>
      <c r="K3" s="206" t="n"/>
      <c r="L3" s="206" t="n"/>
      <c r="M3" s="206" t="n"/>
      <c r="N3" s="206" t="n"/>
      <c r="O3" s="206" t="n"/>
      <c r="P3" s="205" t="n"/>
      <c r="Q3" s="207" t="n"/>
      <c r="R3" s="206" t="n"/>
      <c r="S3" s="205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</row>
    <row r="4" ht="22.5" customHeight="1" s="108">
      <c r="A4" s="32" t="inlineStr">
        <is>
          <t>1A</t>
        </is>
      </c>
      <c r="B4" s="33" t="n">
        <v>4924</v>
      </c>
      <c r="C4" s="33" t="n">
        <v>4986</v>
      </c>
      <c r="D4" s="34">
        <f>IF(C4&gt;B4,C4-B4,0)</f>
        <v/>
      </c>
      <c r="E4" s="46" t="n">
        <v>539</v>
      </c>
      <c r="F4" s="46" t="n">
        <v>545</v>
      </c>
      <c r="G4" s="36">
        <f>IF((F4&gt;E4),F4-E4,0)</f>
        <v/>
      </c>
      <c r="H4" s="37">
        <f>IF(('Quản lý điện nước, chi phí tiền'!D4=" "),"",ROUND(D4*'Thông Báo tháng'!$Y$7,-3))</f>
        <v/>
      </c>
      <c r="I4" s="38">
        <f>IF(G4=0,0,G4*'Thông Báo tháng'!$Y$8)</f>
        <v/>
      </c>
      <c r="J4" s="38" t="n">
        <v>2200000</v>
      </c>
      <c r="K4" s="38">
        <f>'Thông Báo tháng'!$Y$9</f>
        <v/>
      </c>
      <c r="L4" s="38">
        <f>'Thông Báo tháng'!$Y$10</f>
        <v/>
      </c>
      <c r="M4" s="74">
        <f>D4*7%</f>
        <v/>
      </c>
      <c r="N4" s="67">
        <f>ROUND(M4*2900, -3)</f>
        <v/>
      </c>
      <c r="O4" s="38" t="n"/>
      <c r="P4" s="39">
        <f>ROUND(SUM(H4:O4), -3)</f>
        <v/>
      </c>
      <c r="Q4" s="69" t="inlineStr">
        <is>
          <t>Trần Văn A</t>
        </is>
      </c>
      <c r="R4" s="40" t="inlineStr">
        <is>
          <t>123456789</t>
        </is>
      </c>
      <c r="S4" s="41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</row>
    <row r="5" ht="22.5" customHeight="1" s="108">
      <c r="A5" s="43" t="inlineStr">
        <is>
          <t>2A</t>
        </is>
      </c>
      <c r="B5" s="44" t="n">
        <v>10596</v>
      </c>
      <c r="C5" s="44" t="n">
        <v>10647</v>
      </c>
      <c r="D5" s="45">
        <f>IF(C5&gt;B5,C5-B5,0)</f>
        <v/>
      </c>
      <c r="E5" s="46" t="n">
        <v>788</v>
      </c>
      <c r="F5" s="46" t="n">
        <v>791</v>
      </c>
      <c r="G5" s="47">
        <f>IF((F5&gt;E5),F5-E5,0)</f>
        <v/>
      </c>
      <c r="H5" s="37">
        <f>IF(('Quản lý điện nước, chi phí tiền'!D5=" "),"",ROUND(D5*'Thông Báo tháng'!$Y$7,-3))</f>
        <v/>
      </c>
      <c r="I5" s="49">
        <f>IF(G5*1=0,0,G5*'Thông Báo tháng'!$Y$8)</f>
        <v/>
      </c>
      <c r="J5" s="38" t="n">
        <v>2200000</v>
      </c>
      <c r="K5" s="38">
        <f>'Thông Báo tháng'!$Y$9</f>
        <v/>
      </c>
      <c r="L5" s="38">
        <f>'Thông Báo tháng'!$Y$10</f>
        <v/>
      </c>
      <c r="M5" s="74">
        <f>D5*7%</f>
        <v/>
      </c>
      <c r="N5" s="67">
        <f>ROUND(M5*2900, -3)</f>
        <v/>
      </c>
      <c r="O5" s="49" t="n"/>
      <c r="P5" s="39">
        <f>ROUND(SUM(H5:O5), -3)</f>
        <v/>
      </c>
      <c r="Q5" s="50" t="inlineStr">
        <is>
          <t>Lê Thị B</t>
        </is>
      </c>
      <c r="R5" s="51" t="inlineStr">
        <is>
          <t>987654321</t>
        </is>
      </c>
      <c r="S5" s="5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</row>
    <row r="6" ht="22.5" customHeight="1" s="108">
      <c r="A6" s="43" t="inlineStr">
        <is>
          <t>3A</t>
        </is>
      </c>
      <c r="B6" s="44" t="n">
        <v>19179</v>
      </c>
      <c r="C6" s="44" t="n">
        <v>19418</v>
      </c>
      <c r="D6" s="45">
        <f>IF(C6&gt;B6,C6-B6,0)</f>
        <v/>
      </c>
      <c r="E6" s="46" t="n">
        <v>585</v>
      </c>
      <c r="F6" s="46" t="n">
        <v>590</v>
      </c>
      <c r="G6" s="47">
        <f>IF((F6&gt;E6),F6-E6,0)</f>
        <v/>
      </c>
      <c r="H6" s="37">
        <f>IF(('Quản lý điện nước, chi phí tiền'!D6=" "),"",ROUND(D6*'Thông Báo tháng'!$Y$7,-3))</f>
        <v/>
      </c>
      <c r="I6" s="49">
        <f>IF(G6*1=0,0,G6*'Thông Báo tháng'!$Y$8)</f>
        <v/>
      </c>
      <c r="J6" s="38" t="n">
        <v>2200000</v>
      </c>
      <c r="K6" s="38">
        <f>'Thông Báo tháng'!$Y$9</f>
        <v/>
      </c>
      <c r="L6" s="38">
        <f>'Thông Báo tháng'!$Y$10</f>
        <v/>
      </c>
      <c r="M6" s="74">
        <f>D6*7%</f>
        <v/>
      </c>
      <c r="N6" s="67">
        <f>ROUND(M6*2900, -3)</f>
        <v/>
      </c>
      <c r="O6" s="49" t="n"/>
      <c r="P6" s="39">
        <f>ROUND(SUM(H6:O6), -3)</f>
        <v/>
      </c>
      <c r="Q6" s="50" t="inlineStr">
        <is>
          <t>Ngô Thị Cúc</t>
        </is>
      </c>
      <c r="R6" s="51" t="inlineStr">
        <is>
          <t>280888891</t>
        </is>
      </c>
      <c r="S6" s="52" t="n"/>
      <c r="T6" s="42" t="n"/>
      <c r="U6" s="42" t="n"/>
      <c r="V6" s="42" t="n"/>
      <c r="W6" s="42" t="n"/>
      <c r="X6" s="42" t="n"/>
      <c r="Y6" s="11" t="n">
        <v>2000000</v>
      </c>
      <c r="Z6" s="42" t="n"/>
      <c r="AA6" s="42" t="n"/>
      <c r="AB6" s="42" t="n"/>
    </row>
    <row r="7" ht="22.5" customHeight="1" s="108">
      <c r="A7" s="43" t="inlineStr">
        <is>
          <t>4A</t>
        </is>
      </c>
      <c r="B7" s="44" t="n">
        <v>739</v>
      </c>
      <c r="C7" s="44" t="n">
        <v>987</v>
      </c>
      <c r="D7" s="45">
        <f>IF(C7&gt;=B7, C7-B7, (10000+C7)-B7)</f>
        <v/>
      </c>
      <c r="E7" s="46" t="n">
        <v>458</v>
      </c>
      <c r="F7" s="46" t="n">
        <v>464</v>
      </c>
      <c r="G7" s="47">
        <f>IF((F7&gt;E7),F7-E7,0)</f>
        <v/>
      </c>
      <c r="H7" s="37">
        <f>IF(('Quản lý điện nước, chi phí tiền'!D7=" "),"",ROUND(D7*'Thông Báo tháng'!$Y$7,-3))</f>
        <v/>
      </c>
      <c r="I7" s="49">
        <f>IF(G7*1=0,0,G7*'Thông Báo tháng'!$Y$8)</f>
        <v/>
      </c>
      <c r="J7" s="38" t="n">
        <v>2200000</v>
      </c>
      <c r="K7" s="38">
        <f>'Thông Báo tháng'!$Y$9</f>
        <v/>
      </c>
      <c r="L7" s="38">
        <f>'Thông Báo tháng'!$Y$10</f>
        <v/>
      </c>
      <c r="M7" s="74">
        <f>D7*7%</f>
        <v/>
      </c>
      <c r="N7" s="67">
        <f>ROUND(M7*2900, -3)</f>
        <v/>
      </c>
      <c r="O7" s="49" t="n"/>
      <c r="P7" s="39">
        <f>ROUND(SUM(H7:O7), -3)</f>
        <v/>
      </c>
      <c r="Q7" s="50" t="inlineStr">
        <is>
          <t>Lâm thu Táo</t>
        </is>
      </c>
      <c r="R7" s="51" t="n">
        <v>280000092</v>
      </c>
      <c r="S7" s="5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</row>
    <row r="8" ht="22.5" customHeight="1" s="108">
      <c r="A8" s="43" t="inlineStr">
        <is>
          <t>5A</t>
        </is>
      </c>
      <c r="B8" s="44" t="n">
        <v>10008</v>
      </c>
      <c r="C8" s="44" t="n">
        <v>10114</v>
      </c>
      <c r="D8" s="45">
        <f>IF(C8&gt;B8,C8-B8,0)</f>
        <v/>
      </c>
      <c r="E8" s="46" t="n">
        <v>561</v>
      </c>
      <c r="F8" s="46" t="n">
        <v>564</v>
      </c>
      <c r="G8" s="47">
        <f>IF((F8&gt;E8),F8-E8,0)</f>
        <v/>
      </c>
      <c r="H8" s="37">
        <f>IF(('Quản lý điện nước, chi phí tiền'!D8=" "),"",ROUND(D8*'Thông Báo tháng'!$Y$7,-3))</f>
        <v/>
      </c>
      <c r="I8" s="49">
        <f>IF(G8*1=0,0,G8*'Thông Báo tháng'!$Y$8)</f>
        <v/>
      </c>
      <c r="J8" s="38" t="n">
        <v>2200000</v>
      </c>
      <c r="K8" s="38">
        <f>'Thông Báo tháng'!$Y$9</f>
        <v/>
      </c>
      <c r="L8" s="38">
        <f>'Thông Báo tháng'!$Y$10</f>
        <v/>
      </c>
      <c r="M8" s="74">
        <f>D8*7%</f>
        <v/>
      </c>
      <c r="N8" s="67">
        <f>ROUND(M8*2900, -3)</f>
        <v/>
      </c>
      <c r="O8" s="49" t="n"/>
      <c r="P8" s="39">
        <f>ROUND(SUM(H8:O8), -3)</f>
        <v/>
      </c>
      <c r="Q8" s="50" t="inlineStr">
        <is>
          <t>Cẩm Thu Lê</t>
        </is>
      </c>
      <c r="R8" s="51" t="inlineStr">
        <is>
          <t>280888892</t>
        </is>
      </c>
      <c r="S8" s="5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</row>
    <row r="9" ht="22.5" customHeight="1" s="108">
      <c r="A9" s="43" t="inlineStr">
        <is>
          <t>6A</t>
        </is>
      </c>
      <c r="B9" s="44" t="n">
        <v>9452</v>
      </c>
      <c r="C9" s="44" t="n">
        <v>9537</v>
      </c>
      <c r="D9" s="45">
        <f>IF(C9&gt;B9,C9-B9,0)</f>
        <v/>
      </c>
      <c r="E9" s="46" t="n">
        <v>615</v>
      </c>
      <c r="F9" s="46" t="n">
        <v>621</v>
      </c>
      <c r="G9" s="47">
        <f>IF((F9&gt;E9),F9-E9,0)</f>
        <v/>
      </c>
      <c r="H9" s="37">
        <f>IF(('Quản lý điện nước, chi phí tiền'!D9=" "),"",ROUND(D9*'Thông Báo tháng'!$Y$7,-3))</f>
        <v/>
      </c>
      <c r="I9" s="49">
        <f>IF(G9*1=0,0,G9*'Thông Báo tháng'!$Y$8)</f>
        <v/>
      </c>
      <c r="J9" s="38" t="n">
        <v>2200000</v>
      </c>
      <c r="K9" s="38">
        <f>'Thông Báo tháng'!$Y$9</f>
        <v/>
      </c>
      <c r="L9" s="38">
        <f>'Thông Báo tháng'!$Y$10</f>
        <v/>
      </c>
      <c r="M9" s="74">
        <f>D9*7%</f>
        <v/>
      </c>
      <c r="N9" s="67">
        <f>ROUND(M9*2900, -3)</f>
        <v/>
      </c>
      <c r="O9" s="49" t="n"/>
      <c r="P9" s="39">
        <f>ROUND(SUM(H9:O9), -3)</f>
        <v/>
      </c>
      <c r="Q9" s="50" t="inlineStr">
        <is>
          <t>Minh Hùng</t>
        </is>
      </c>
      <c r="R9" s="51" t="n">
        <v>280000093</v>
      </c>
      <c r="S9" s="5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</row>
    <row r="10" ht="22.5" customHeight="1" s="108">
      <c r="A10" s="43" t="inlineStr">
        <is>
          <t>1B</t>
        </is>
      </c>
      <c r="B10" s="44" t="n">
        <v>7409</v>
      </c>
      <c r="C10" s="44" t="n">
        <v>7501</v>
      </c>
      <c r="D10" s="45">
        <f>IF(C10&gt;B10,C10-B10,0)</f>
        <v/>
      </c>
      <c r="E10" s="46" t="n">
        <v>613</v>
      </c>
      <c r="F10" s="46" t="n">
        <v>619</v>
      </c>
      <c r="G10" s="47">
        <f>IF((F10&gt;E10),F10-E10,0)</f>
        <v/>
      </c>
      <c r="H10" s="37">
        <f>IF(('Quản lý điện nước, chi phí tiền'!D10=" "),"",ROUND(D10*'Thông Báo tháng'!$Y$7,-3))</f>
        <v/>
      </c>
      <c r="I10" s="49">
        <f>IF(G10*1=0,0,G10*'Thông Báo tháng'!$Y$8)</f>
        <v/>
      </c>
      <c r="J10" s="38" t="n">
        <v>2200000</v>
      </c>
      <c r="K10" s="38">
        <f>'Thông Báo tháng'!$Y$9</f>
        <v/>
      </c>
      <c r="L10" s="38">
        <f>'Thông Báo tháng'!$Y$10</f>
        <v/>
      </c>
      <c r="M10" s="74">
        <f>D10*7%</f>
        <v/>
      </c>
      <c r="N10" s="67">
        <f>ROUND(M10*2900, -3)</f>
        <v/>
      </c>
      <c r="O10" s="49" t="n"/>
      <c r="P10" s="39">
        <f>ROUND(SUM(H10:O10), -3)</f>
        <v/>
      </c>
      <c r="Q10" s="50" t="inlineStr">
        <is>
          <t>Minh Anh</t>
        </is>
      </c>
      <c r="R10" s="51" t="inlineStr">
        <is>
          <t>280888893</t>
        </is>
      </c>
      <c r="S10" s="5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</row>
    <row r="11" ht="22.5" customHeight="1" s="108">
      <c r="A11" s="43" t="inlineStr">
        <is>
          <t>2B</t>
        </is>
      </c>
      <c r="B11" s="44" t="n">
        <v>7873</v>
      </c>
      <c r="C11" s="44" t="n">
        <v>7958</v>
      </c>
      <c r="D11" s="45">
        <f>IF(C11&gt;B11,C11-B11,0)</f>
        <v/>
      </c>
      <c r="E11" s="46" t="n">
        <v>641</v>
      </c>
      <c r="F11" s="46" t="n">
        <v>648</v>
      </c>
      <c r="G11" s="47">
        <f>IF((F11&gt;E11),F11-E11,0)</f>
        <v/>
      </c>
      <c r="H11" s="37">
        <f>IF(('Quản lý điện nước, chi phí tiền'!D11=" "),"",ROUND(D11*'Thông Báo tháng'!$Y$7,-3))</f>
        <v/>
      </c>
      <c r="I11" s="49">
        <f>IF(G11*1=0,0,G11*'Thông Báo tháng'!$Y$8)</f>
        <v/>
      </c>
      <c r="J11" s="38" t="n">
        <v>2200000</v>
      </c>
      <c r="K11" s="38">
        <f>'Thông Báo tháng'!$Y$9</f>
        <v/>
      </c>
      <c r="L11" s="38">
        <f>'Thông Báo tháng'!$Y$10</f>
        <v/>
      </c>
      <c r="M11" s="74">
        <f>D11*7%</f>
        <v/>
      </c>
      <c r="N11" s="67">
        <f>ROUND(M11*2900, -3)</f>
        <v/>
      </c>
      <c r="O11" s="49" t="n"/>
      <c r="P11" s="39">
        <f>ROUND(SUM(H11:O11), -3)</f>
        <v/>
      </c>
      <c r="Q11" s="50" t="inlineStr">
        <is>
          <t>Manh Hung</t>
        </is>
      </c>
      <c r="R11" s="51" t="inlineStr">
        <is>
          <t>2808888911</t>
        </is>
      </c>
      <c r="S11" s="5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</row>
    <row r="12" ht="22.5" customHeight="1" s="108">
      <c r="A12" s="43" t="inlineStr">
        <is>
          <t>3B</t>
        </is>
      </c>
      <c r="B12" s="44" t="n">
        <v>10669</v>
      </c>
      <c r="C12" s="44" t="n">
        <v>10685</v>
      </c>
      <c r="D12" s="45">
        <f>IF(C12&gt;B12,C12-B12,0)</f>
        <v/>
      </c>
      <c r="E12" s="46" t="n">
        <v>696</v>
      </c>
      <c r="F12" s="46" t="n">
        <v>700</v>
      </c>
      <c r="G12" s="47">
        <f>IF((F12&gt;E12),F12-E12,0)</f>
        <v/>
      </c>
      <c r="H12" s="37">
        <f>IF(('Quản lý điện nước, chi phí tiền'!D12=" "),"",ROUND(D12*'Thông Báo tháng'!$Y$7,-3))</f>
        <v/>
      </c>
      <c r="I12" s="49">
        <f>IF(G12*1=0,0,G12*'Thông Báo tháng'!$Y$8)</f>
        <v/>
      </c>
      <c r="J12" s="38" t="n">
        <v>2200000</v>
      </c>
      <c r="K12" s="38">
        <f>'Thông Báo tháng'!$Y$9</f>
        <v/>
      </c>
      <c r="L12" s="38">
        <f>'Thông Báo tháng'!$Y$10</f>
        <v/>
      </c>
      <c r="M12" s="74">
        <f>D12*7%</f>
        <v/>
      </c>
      <c r="N12" s="67">
        <f>ROUND(M12*2900, -3)</f>
        <v/>
      </c>
      <c r="O12" s="49" t="n"/>
      <c r="P12" s="39">
        <f>ROUND(SUM(H12:O12), -3)</f>
        <v/>
      </c>
      <c r="Q12" s="50" t="inlineStr">
        <is>
          <t>Chuc Sinh Xan</t>
        </is>
      </c>
      <c r="R12" s="51" t="inlineStr">
        <is>
          <t>280888894</t>
        </is>
      </c>
      <c r="S12" s="5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</row>
    <row r="13" ht="22.5" customHeight="1" s="108">
      <c r="A13" s="43" t="inlineStr">
        <is>
          <t>4B</t>
        </is>
      </c>
      <c r="B13" s="44" t="n">
        <v>9616</v>
      </c>
      <c r="C13" s="44" t="n">
        <v>9651</v>
      </c>
      <c r="D13" s="45">
        <f>IF(C13&gt;B13,C13-B13,0)</f>
        <v/>
      </c>
      <c r="E13" s="46" t="n">
        <v>760</v>
      </c>
      <c r="F13" s="46" t="n">
        <v>766</v>
      </c>
      <c r="G13" s="47">
        <f>IF((F13&gt;E13),F13-E13,0)</f>
        <v/>
      </c>
      <c r="H13" s="37">
        <f>IF(('Quản lý điện nước, chi phí tiền'!D13=" "),"",ROUND(D13*'Thông Báo tháng'!$Y$7,-3))</f>
        <v/>
      </c>
      <c r="I13" s="49">
        <f>IF(G13*1=0,0,G13*'Thông Báo tháng'!$Y$8)</f>
        <v/>
      </c>
      <c r="J13" s="38" t="n">
        <v>2200000</v>
      </c>
      <c r="K13" s="38">
        <f>'Thông Báo tháng'!$Y$9</f>
        <v/>
      </c>
      <c r="L13" s="38">
        <f>'Thông Báo tháng'!$Y$10</f>
        <v/>
      </c>
      <c r="M13" s="74">
        <f>D13*7%</f>
        <v/>
      </c>
      <c r="N13" s="67">
        <f>ROUND(M13*2900, -3)</f>
        <v/>
      </c>
      <c r="O13" s="49" t="n"/>
      <c r="P13" s="39">
        <f>ROUND(SUM(H13:O13), -3)</f>
        <v/>
      </c>
      <c r="Q13" s="50" t="inlineStr">
        <is>
          <t>Hung Ngo Lan</t>
        </is>
      </c>
      <c r="R13" s="51" t="n">
        <v>280000095</v>
      </c>
      <c r="S13" s="5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</row>
    <row r="14" ht="22.5" customHeight="1" s="108">
      <c r="A14" s="43" t="inlineStr">
        <is>
          <t>5B</t>
        </is>
      </c>
      <c r="B14" s="44" t="n">
        <v>7119</v>
      </c>
      <c r="C14" s="44" t="n">
        <v>7262</v>
      </c>
      <c r="D14" s="45">
        <f>IF(C14&gt;B14,C14-B14,0)</f>
        <v/>
      </c>
      <c r="E14" s="46" t="n">
        <v>502</v>
      </c>
      <c r="F14" s="46" t="n">
        <v>515</v>
      </c>
      <c r="G14" s="47">
        <f>IF((F14&gt;E14),F14-E14,0)</f>
        <v/>
      </c>
      <c r="H14" s="37">
        <f>IF(('Quản lý điện nước, chi phí tiền'!D14=" "),"",ROUND(D14*'Thông Báo tháng'!$Y$7,-3))</f>
        <v/>
      </c>
      <c r="I14" s="49">
        <f>IF(G14*1=0,0,G14*'Thông Báo tháng'!$Y$8)</f>
        <v/>
      </c>
      <c r="J14" s="38" t="n">
        <v>2200000</v>
      </c>
      <c r="K14" s="38">
        <f>'Thông Báo tháng'!$Y$9</f>
        <v/>
      </c>
      <c r="L14" s="38">
        <f>'Thông Báo tháng'!$Y$10</f>
        <v/>
      </c>
      <c r="M14" s="74">
        <f>D14*7%</f>
        <v/>
      </c>
      <c r="N14" s="67">
        <f>ROUND(M14*2900, -3)</f>
        <v/>
      </c>
      <c r="O14" s="49" t="n"/>
      <c r="P14" s="39">
        <f>ROUND(SUM(H14:O14), -3)</f>
        <v/>
      </c>
      <c r="Q14" s="50" t="inlineStr">
        <is>
          <t>Liang chun wai</t>
        </is>
      </c>
      <c r="R14" s="51" t="inlineStr">
        <is>
          <t>280888895</t>
        </is>
      </c>
      <c r="S14" s="5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</row>
    <row r="15" ht="22.5" customHeight="1" s="108" thickBot="1">
      <c r="A15" s="53" t="inlineStr">
        <is>
          <t>6B</t>
        </is>
      </c>
      <c r="B15" s="54" t="n">
        <v>12693</v>
      </c>
      <c r="C15" s="54" t="n">
        <v>12792</v>
      </c>
      <c r="D15" s="55">
        <f>IF(C15&gt;B15,C15-B15,0)</f>
        <v/>
      </c>
      <c r="E15" s="56" t="n">
        <v>716</v>
      </c>
      <c r="F15" s="56" t="n">
        <v>721</v>
      </c>
      <c r="G15" s="57">
        <f>IF((F15&gt;E15),F15-E15,0)</f>
        <v/>
      </c>
      <c r="H15" s="37">
        <f>IF(('Quản lý điện nước, chi phí tiền'!D15=" "),"",ROUND(D15*'Thông Báo tháng'!$Y$7,-3))</f>
        <v/>
      </c>
      <c r="I15" s="49">
        <f>IF(G15*1=0,0,G15*'Thông Báo tháng'!$Y$8)</f>
        <v/>
      </c>
      <c r="J15" s="38" t="n">
        <v>2200000</v>
      </c>
      <c r="K15" s="38">
        <f>'Thông Báo tháng'!$Y$9</f>
        <v/>
      </c>
      <c r="L15" s="38">
        <f>'Thông Báo tháng'!$Y$10</f>
        <v/>
      </c>
      <c r="M15" s="74">
        <f>D15*7%</f>
        <v/>
      </c>
      <c r="N15" s="67">
        <f>ROUND(M15*2900, -3)</f>
        <v/>
      </c>
      <c r="O15" s="58" t="n"/>
      <c r="P15" s="39">
        <f>ROUND(SUM(H15:O15), -3)</f>
        <v/>
      </c>
      <c r="Q15" s="59" t="inlineStr">
        <is>
          <t>ABC</t>
        </is>
      </c>
      <c r="R15" s="60" t="n">
        <v>29098877</v>
      </c>
      <c r="S15" s="61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</row>
    <row r="16" ht="33" customHeight="1" s="108" thickBot="1">
      <c r="A16" s="208" t="inlineStr">
        <is>
          <t>DOANH THU THÁNG</t>
        </is>
      </c>
      <c r="B16" s="209" t="n"/>
      <c r="C16" s="209" t="n"/>
      <c r="D16" s="209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10" t="n"/>
      <c r="P16" s="62">
        <f>SUM(P4:P15)</f>
        <v/>
      </c>
      <c r="Q16" s="63" t="n"/>
      <c r="R16" s="64" t="n"/>
      <c r="S16" s="65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</row>
    <row r="17" ht="18" customHeight="1" s="108">
      <c r="A17" s="24" t="n"/>
      <c r="B17" s="24" t="n"/>
      <c r="C17" s="24" t="n"/>
      <c r="D17" s="68">
        <f>SUM(D4:D15)</f>
        <v/>
      </c>
      <c r="E17" s="24" t="n"/>
      <c r="F17" s="24" t="n"/>
      <c r="G17" s="24" t="n"/>
      <c r="H17" s="24" t="n"/>
      <c r="I17" s="24" t="n"/>
      <c r="J17" s="68">
        <f>SUM(J4:J15)</f>
        <v/>
      </c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18" customHeight="1" s="10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18" customHeight="1" s="108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18" customHeight="1" s="108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18" customHeight="1" s="108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18" customHeight="1" s="108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18" customHeight="1" s="108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18" customHeight="1" s="108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18" customHeight="1" s="108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12.75" customHeight="1" s="108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12.75" customHeight="1" s="108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12.75" customHeight="1" s="10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12.75" customHeight="1" s="108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12.75" customHeight="1" s="108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12.75" customHeight="1" s="108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12.75" customHeight="1" s="108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12.75" customHeight="1" s="108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 ht="12.75" customHeight="1" s="108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</row>
    <row r="35" ht="12.75" customHeight="1" s="108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</row>
    <row r="36" ht="12.75" customHeight="1" s="108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</row>
    <row r="37" ht="12.75" customHeight="1" s="108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</row>
    <row r="38" ht="12.75" customHeight="1" s="10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</row>
    <row r="39" ht="12.75" customHeight="1" s="108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</row>
    <row r="40" ht="12.75" customHeight="1" s="108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</row>
    <row r="41" ht="12.75" customHeight="1" s="108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</row>
    <row r="42" ht="12.75" customHeight="1" s="108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</row>
    <row r="43" ht="12.75" customHeight="1" s="108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 ht="12.75" customHeight="1" s="108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</row>
    <row r="45" ht="12.75" customHeight="1" s="108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</row>
    <row r="46" ht="12.75" customHeight="1" s="108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</row>
    <row r="47" ht="12.75" customHeight="1" s="108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</row>
    <row r="48" ht="12.75" customHeight="1" s="10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 ht="12.75" customHeight="1" s="108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</row>
    <row r="50" ht="12.75" customHeight="1" s="108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 ht="12.75" customHeight="1" s="108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</row>
    <row r="52" ht="12.75" customHeight="1" s="108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12.75" customHeight="1" s="108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 ht="12.75" customHeight="1" s="108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</row>
    <row r="55" ht="12.75" customHeight="1" s="108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</row>
    <row r="56" ht="12.75" customHeight="1" s="108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 ht="12.75" customHeight="1" s="108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</row>
    <row r="58" ht="12.75" customHeight="1" s="10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</row>
    <row r="59" ht="12.75" customHeight="1" s="108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</row>
    <row r="60" ht="12.75" customHeight="1" s="108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</row>
    <row r="61" ht="12.75" customHeight="1" s="108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</row>
    <row r="62" ht="12.75" customHeight="1" s="108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</row>
    <row r="63" ht="12.75" customHeight="1" s="108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</row>
    <row r="64" ht="12.75" customHeight="1" s="108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</row>
    <row r="65" ht="12.75" customHeight="1" s="108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</row>
    <row r="66" ht="12.75" customHeight="1" s="108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 ht="12.75" customHeight="1" s="108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</row>
    <row r="68" ht="12.75" customHeight="1" s="10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</row>
    <row r="69" ht="12.75" customHeight="1" s="108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</row>
    <row r="70" ht="12.75" customHeight="1" s="108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</row>
    <row r="71" ht="12.75" customHeight="1" s="108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 ht="12.75" customHeight="1" s="108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</row>
    <row r="73" ht="12.75" customHeight="1" s="108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 ht="12.75" customHeight="1" s="108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</row>
    <row r="75" ht="12.75" customHeight="1" s="108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12.75" customHeight="1" s="108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 ht="12.75" customHeight="1" s="108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</row>
    <row r="78" ht="12.75" customHeight="1" s="10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</row>
    <row r="79" ht="12.75" customHeight="1" s="108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 ht="12.75" customHeight="1" s="108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</row>
    <row r="81" ht="12.75" customHeight="1" s="108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</row>
    <row r="82" ht="12.75" customHeight="1" s="108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</row>
    <row r="83" ht="12.75" customHeight="1" s="108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</row>
    <row r="84" ht="12.75" customHeight="1" s="108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</row>
    <row r="85" ht="12.75" customHeight="1" s="108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</row>
    <row r="86" ht="12.75" customHeight="1" s="108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</row>
    <row r="87" ht="12.75" customHeight="1" s="108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</row>
    <row r="88" ht="12.75" customHeight="1" s="10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</row>
    <row r="89" ht="12.75" customHeight="1" s="108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 ht="12.75" customHeight="1" s="108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</row>
    <row r="91" ht="12.75" customHeight="1" s="108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</row>
    <row r="92" ht="12.75" customHeight="1" s="108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</row>
    <row r="93" ht="12.75" customHeight="1" s="108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</row>
    <row r="94" ht="12.75" customHeight="1" s="108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 ht="12.75" customHeight="1" s="108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</row>
    <row r="96" ht="12.75" customHeight="1" s="108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 ht="12.75" customHeight="1" s="108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</row>
    <row r="98" ht="12.75" customHeight="1" s="10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12.75" customHeight="1" s="108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12.75" customHeight="1" s="108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12.75" customHeight="1" s="108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12.75" customHeight="1" s="108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 ht="12.75" customHeight="1" s="108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</row>
    <row r="104" ht="12.75" customHeight="1" s="108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</row>
    <row r="105" ht="12.75" customHeight="1" s="108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</row>
    <row r="106" ht="12.75" customHeight="1" s="108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</row>
    <row r="107" ht="12.75" customHeight="1" s="108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 ht="12.75" customHeight="1" s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</row>
    <row r="109" ht="12.75" customHeight="1" s="108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</row>
    <row r="110" ht="12.75" customHeight="1" s="108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</row>
    <row r="111" ht="12.75" customHeight="1" s="108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</row>
    <row r="112" ht="12.75" customHeight="1" s="108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 ht="12.75" customHeight="1" s="108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</row>
    <row r="114" ht="12.75" customHeight="1" s="108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</row>
    <row r="115" ht="12.75" customHeight="1" s="108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</row>
    <row r="116" ht="12.75" customHeight="1" s="108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12.75" customHeight="1" s="108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12.75" customHeight="1" s="10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12.75" customHeight="1" s="108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 ht="12.75" customHeight="1" s="108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</row>
    <row r="121" ht="12.75" customHeight="1" s="108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</row>
    <row r="122" ht="12.75" customHeight="1" s="108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</row>
    <row r="123" ht="12.75" customHeight="1" s="108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</row>
    <row r="124" ht="12.75" customHeight="1" s="108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 ht="12.75" customHeight="1" s="108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</row>
    <row r="126" ht="12.75" customHeight="1" s="108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</row>
    <row r="127" ht="12.75" customHeight="1" s="108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</row>
    <row r="128" ht="12.75" customHeight="1" s="10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</row>
    <row r="129" ht="12.75" customHeight="1" s="108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 ht="12.75" customHeight="1" s="108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</row>
    <row r="131" ht="12.75" customHeight="1" s="108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</row>
    <row r="132" ht="12.75" customHeight="1" s="108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</row>
    <row r="133" ht="12.75" customHeight="1" s="108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12.75" customHeight="1" s="108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12.75" customHeight="1" s="108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12.75" customHeight="1" s="108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 ht="12.75" customHeight="1" s="108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</row>
    <row r="138" ht="12.75" customHeight="1" s="10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</row>
    <row r="139" ht="12.75" customHeight="1" s="108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</row>
    <row r="140" ht="12.75" customHeight="1" s="108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</row>
    <row r="141" ht="12.75" customHeight="1" s="108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 ht="12.75" customHeight="1" s="108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</row>
    <row r="143" ht="12.75" customHeight="1" s="108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</row>
    <row r="144" ht="12.75" customHeight="1" s="108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</row>
    <row r="145" ht="12.75" customHeight="1" s="108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</row>
    <row r="146" ht="12.75" customHeight="1" s="108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 ht="12.75" customHeight="1" s="108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</row>
    <row r="148" ht="12.75" customHeight="1" s="10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</row>
    <row r="149" ht="12.75" customHeight="1" s="108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</row>
    <row r="150" ht="12.75" customHeight="1" s="108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12.75" customHeight="1" s="108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12.75" customHeight="1" s="108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12.75" customHeight="1" s="108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 ht="12.75" customHeight="1" s="108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</row>
    <row r="155" ht="12.75" customHeight="1" s="108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</row>
    <row r="156" ht="12.75" customHeight="1" s="108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</row>
    <row r="157" ht="12.75" customHeight="1" s="108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</row>
    <row r="158" ht="12.75" customHeight="1" s="10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 ht="12.75" customHeight="1" s="108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</row>
    <row r="160" ht="12.75" customHeight="1" s="108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</row>
    <row r="161" ht="12.75" customHeight="1" s="108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</row>
    <row r="162" ht="12.75" customHeight="1" s="108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</row>
    <row r="163" ht="12.75" customHeight="1" s="108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 ht="12.75" customHeight="1" s="108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</row>
    <row r="165" ht="12.75" customHeight="1" s="108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</row>
    <row r="166" ht="12.75" customHeight="1" s="108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</row>
    <row r="167" ht="12.75" customHeight="1" s="108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12.75" customHeight="1" s="10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12.75" customHeight="1" s="108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 ht="12.75" customHeight="1" s="108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</row>
    <row r="171" ht="12.75" customHeight="1" s="108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</row>
    <row r="172" ht="12.75" customHeight="1" s="108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12.75" customHeight="1" s="108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 ht="12.75" customHeight="1" s="108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</row>
    <row r="175" ht="12.75" customHeight="1" s="108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12.75" customHeight="1" s="108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 ht="12.75" customHeight="1" s="108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</row>
    <row r="178" ht="12.75" customHeight="1" s="10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</row>
    <row r="179" ht="12.75" customHeight="1" s="108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12.75" customHeight="1" s="108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 ht="12.75" customHeight="1" s="108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</row>
    <row r="182" ht="12.75" customHeight="1" s="108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 ht="12.75" customHeight="1" s="108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</row>
    <row r="184" ht="12.75" customHeight="1" s="108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 ht="12.75" customHeight="1" s="108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</row>
    <row r="186" ht="12.75" customHeight="1" s="108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 ht="12.75" customHeight="1" s="108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</row>
    <row r="188" ht="12.75" customHeight="1" s="10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</row>
    <row r="189" ht="12.75" customHeight="1" s="108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</row>
    <row r="190" ht="12.75" customHeight="1" s="108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 ht="12.75" customHeight="1" s="108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</row>
    <row r="192" ht="12.75" customHeight="1" s="108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</row>
    <row r="193" ht="12.75" customHeight="1" s="108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</row>
    <row r="194" ht="12.75" customHeight="1" s="108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</row>
    <row r="195" ht="12.75" customHeight="1" s="108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</row>
    <row r="196" ht="12.75" customHeight="1" s="108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</row>
    <row r="197" ht="12.75" customHeight="1" s="108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</row>
    <row r="198" ht="12.75" customHeight="1" s="10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</row>
    <row r="199" ht="12.75" customHeight="1" s="108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</row>
    <row r="200" ht="12.75" customHeight="1" s="108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</row>
    <row r="201" ht="12.75" customHeight="1" s="108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</row>
    <row r="202" ht="12.75" customHeight="1" s="108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</row>
    <row r="203" ht="12.75" customHeight="1" s="108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12.75" customHeight="1" s="108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 ht="12.75" customHeight="1" s="108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</row>
    <row r="206" ht="12.75" customHeight="1" s="108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</row>
    <row r="207" ht="12.75" customHeight="1" s="108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12.75" customHeight="1" s="1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 ht="12.75" customHeight="1" s="108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</row>
    <row r="210" ht="12.75" customHeight="1" s="108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12.75" customHeight="1" s="108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 ht="12.75" customHeight="1" s="108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</row>
    <row r="213" ht="12.75" customHeight="1" s="108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</row>
    <row r="214" ht="12.75" customHeight="1" s="108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12.75" customHeight="1" s="10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 ht="12.75" customHeight="1" s="10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</row>
    <row r="217" ht="12.75" customHeight="1" s="10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 ht="12.75" customHeight="1" s="10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</row>
    <row r="219" ht="12.75" customHeight="1" s="10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 ht="12.75" customHeight="1" s="10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</row>
    <row r="221" ht="12.75" customHeight="1" s="10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 ht="12.75" customHeight="1" s="10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</row>
    <row r="223" ht="12.75" customHeight="1" s="10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</row>
    <row r="224" ht="12.75" customHeight="1" s="10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</row>
    <row r="225" ht="12.75" customHeight="1" s="10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 ht="12.75" customHeight="1" s="10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</row>
    <row r="227" ht="12.75" customHeight="1" s="10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</row>
    <row r="228" ht="12.75" customHeight="1" s="10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</row>
    <row r="229" ht="12.75" customHeight="1" s="10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</row>
    <row r="230" ht="12.75" customHeight="1" s="10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</row>
    <row r="231" ht="12.75" customHeight="1" s="10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</row>
    <row r="232" ht="12.75" customHeight="1" s="10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</row>
    <row r="233" ht="12.75" customHeight="1" s="10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</row>
    <row r="234" ht="12.75" customHeight="1" s="10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</row>
    <row r="235" ht="12.75" customHeight="1" s="10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</row>
    <row r="236" ht="12.75" customHeight="1" s="10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</row>
    <row r="237" ht="12.75" customHeight="1" s="10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</row>
    <row r="238" ht="12.75" customHeight="1" s="10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12.75" customHeight="1" s="10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 ht="12.75" customHeight="1" s="10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</row>
    <row r="241" ht="12.75" customHeight="1" s="10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</row>
    <row r="242" ht="12.75" customHeight="1" s="10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12.75" customHeight="1" s="10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 ht="12.75" customHeight="1" s="10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</row>
    <row r="245" ht="12.75" customHeight="1" s="10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12.75" customHeight="1" s="10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 ht="12.75" customHeight="1" s="10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</row>
    <row r="248" ht="12.75" customHeight="1" s="10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</row>
    <row r="249" ht="12.75" customHeight="1" s="10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12.75" customHeight="1" s="10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 ht="12.75" customHeight="1" s="10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</row>
    <row r="252" ht="12.75" customHeight="1" s="10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 ht="12.75" customHeight="1" s="10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</row>
    <row r="254" ht="12.75" customHeight="1" s="10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 ht="12.75" customHeight="1" s="10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</row>
    <row r="256" ht="12.75" customHeight="1" s="10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 ht="12.75" customHeight="1" s="10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</row>
    <row r="258" ht="12.75" customHeight="1" s="10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</row>
    <row r="259" ht="12.75" customHeight="1" s="10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</row>
    <row r="260" ht="12.75" customHeight="1" s="10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 ht="12.75" customHeight="1" s="10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</row>
    <row r="262" ht="12.75" customHeight="1" s="10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</row>
    <row r="263" ht="12.75" customHeight="1" s="10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</row>
    <row r="264" ht="12.75" customHeight="1" s="10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</row>
    <row r="265" ht="12.75" customHeight="1" s="10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</row>
    <row r="266" ht="12.75" customHeight="1" s="10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</row>
    <row r="267" ht="12.75" customHeight="1" s="10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</row>
    <row r="268" ht="12.75" customHeight="1" s="10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</row>
    <row r="269" ht="12.75" customHeight="1" s="10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</row>
    <row r="270" ht="12.75" customHeight="1" s="10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</row>
    <row r="271" ht="12.75" customHeight="1" s="10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</row>
    <row r="272" ht="12.75" customHeight="1" s="10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</row>
    <row r="273" ht="12.75" customHeight="1" s="10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12.75" customHeight="1" s="10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 ht="12.75" customHeight="1" s="10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</row>
    <row r="276" ht="12.75" customHeight="1" s="10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</row>
    <row r="277" ht="12.75" customHeight="1" s="10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12.75" customHeight="1" s="10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 ht="12.75" customHeight="1" s="10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</row>
    <row r="280" ht="12.75" customHeight="1" s="10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12.75" customHeight="1" s="10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 ht="12.75" customHeight="1" s="10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</row>
    <row r="283" ht="12.75" customHeight="1" s="10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</row>
    <row r="284" ht="12.75" customHeight="1" s="10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12.75" customHeight="1" s="10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 ht="12.75" customHeight="1" s="10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</row>
    <row r="287" ht="12.75" customHeight="1" s="10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 ht="12.75" customHeight="1" s="10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</row>
    <row r="289" ht="12.75" customHeight="1" s="10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 ht="12.75" customHeight="1" s="10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</row>
    <row r="291" ht="12.75" customHeight="1" s="10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 ht="12.75" customHeight="1" s="10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</row>
    <row r="293" ht="12.75" customHeight="1" s="10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</row>
    <row r="294" ht="12.75" customHeight="1" s="10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</row>
    <row r="295" ht="12.75" customHeight="1" s="10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 ht="12.75" customHeight="1" s="10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</row>
    <row r="297" ht="12.75" customHeight="1" s="10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</row>
    <row r="298" ht="12.75" customHeight="1" s="10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</row>
    <row r="299" ht="12.75" customHeight="1" s="10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</row>
    <row r="300" ht="12.75" customHeight="1" s="10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</row>
    <row r="301" ht="12.75" customHeight="1" s="10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</row>
    <row r="302" ht="12.75" customHeight="1" s="10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</row>
    <row r="303" ht="12.75" customHeight="1" s="10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</row>
    <row r="304" ht="12.75" customHeight="1" s="10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</row>
    <row r="305" ht="12.75" customHeight="1" s="10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</row>
    <row r="306" ht="12.75" customHeight="1" s="10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</row>
    <row r="307" ht="12.75" customHeight="1" s="10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</row>
    <row r="308" ht="12.75" customHeight="1" s="10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12.75" customHeight="1" s="10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12.75" customHeight="1" s="10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 ht="12.75" customHeight="1" s="10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</row>
    <row r="312" ht="12.75" customHeight="1" s="10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12.75" customHeight="1" s="10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 ht="12.75" customHeight="1" s="10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</row>
    <row r="315" ht="12.75" customHeight="1" s="10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12.75" customHeight="1" s="10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 ht="12.75" customHeight="1" s="10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</row>
    <row r="318" ht="12.75" customHeight="1" s="10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12.75" customHeight="1" s="10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 ht="12.75" customHeight="1" s="10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</row>
    <row r="321" ht="12.75" customHeight="1" s="10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 ht="12.75" customHeight="1" s="10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</row>
    <row r="323" ht="12.75" customHeight="1" s="10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12.75" customHeight="1" s="10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 ht="12.75" customHeight="1" s="10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</row>
    <row r="326" ht="12.75" customHeight="1" s="10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12.75" customHeight="1" s="10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 ht="12.75" customHeight="1" s="10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</row>
    <row r="329" ht="12.75" customHeight="1" s="10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12.75" customHeight="1" s="10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 ht="12.75" customHeight="1" s="10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</row>
    <row r="332" ht="12.75" customHeight="1" s="10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12.75" customHeight="1" s="10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 ht="12.75" customHeight="1" s="10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</row>
    <row r="335" ht="12.75" customHeight="1" s="10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 ht="12.75" customHeight="1" s="10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</row>
    <row r="337" ht="12.75" customHeight="1" s="10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12.75" customHeight="1" s="10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 ht="12.75" customHeight="1" s="10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</row>
    <row r="340" ht="12.75" customHeight="1" s="10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12.75" customHeight="1" s="10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 ht="12.75" customHeight="1" s="10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</row>
    <row r="343" ht="12.75" customHeight="1" s="10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12.75" customHeight="1" s="10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 ht="12.75" customHeight="1" s="10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</row>
    <row r="346" ht="12.75" customHeight="1" s="10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12.75" customHeight="1" s="10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 ht="12.75" customHeight="1" s="10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</row>
    <row r="349" ht="12.75" customHeight="1" s="10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 ht="12.75" customHeight="1" s="10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</row>
    <row r="351" ht="12.75" customHeight="1" s="10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12.75" customHeight="1" s="10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 ht="12.75" customHeight="1" s="10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</row>
    <row r="354" ht="12.75" customHeight="1" s="10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12.75" customHeight="1" s="10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 ht="12.75" customHeight="1" s="10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</row>
    <row r="357" ht="12.75" customHeight="1" s="10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12.75" customHeight="1" s="10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 ht="12.75" customHeight="1" s="10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</row>
    <row r="360" ht="12.75" customHeight="1" s="10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12.75" customHeight="1" s="10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 ht="12.75" customHeight="1" s="10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</row>
    <row r="363" ht="12.75" customHeight="1" s="10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 ht="12.75" customHeight="1" s="10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</row>
    <row r="365" ht="12.75" customHeight="1" s="10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12.75" customHeight="1" s="10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12.75" customHeight="1" s="10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 ht="12.75" customHeight="1" s="10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</row>
    <row r="369" ht="12.75" customHeight="1" s="10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 ht="12.75" customHeight="1" s="10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</row>
    <row r="371" ht="12.75" customHeight="1" s="10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 ht="12.75" customHeight="1" s="10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</row>
    <row r="373" ht="12.75" customHeight="1" s="10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 ht="12.75" customHeight="1" s="10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</row>
    <row r="375" ht="12.75" customHeight="1" s="10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 ht="12.75" customHeight="1" s="10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</row>
    <row r="377" ht="12.75" customHeight="1" s="10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 ht="12.75" customHeight="1" s="10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</row>
    <row r="379" ht="12.75" customHeight="1" s="108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 ht="12.75" customHeight="1" s="108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</row>
    <row r="381" ht="12.75" customHeight="1" s="108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 ht="12.75" customHeight="1" s="108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</row>
    <row r="383" ht="12.75" customHeight="1" s="108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 ht="12.75" customHeight="1" s="108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</row>
    <row r="385" ht="12.75" customHeight="1" s="108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12.75" customHeight="1" s="108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 ht="12.75" customHeight="1" s="108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</row>
    <row r="388" ht="12.75" customHeight="1" s="10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 ht="12.75" customHeight="1" s="108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</row>
    <row r="390" ht="12.75" customHeight="1" s="108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 ht="12.75" customHeight="1" s="108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</row>
    <row r="392" ht="12.75" customHeight="1" s="108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 ht="12.75" customHeight="1" s="108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</row>
    <row r="394" ht="12.75" customHeight="1" s="108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 ht="12.75" customHeight="1" s="108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</row>
    <row r="396" ht="12.75" customHeight="1" s="108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 ht="12.75" customHeight="1" s="108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</row>
    <row r="398" ht="12.75" customHeight="1" s="10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 ht="12.75" customHeight="1" s="108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</row>
    <row r="400" ht="12.75" customHeight="1" s="108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 ht="12.75" customHeight="1" s="108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</row>
    <row r="402" ht="12.75" customHeight="1" s="108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 ht="12.75" customHeight="1" s="108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</row>
    <row r="404" ht="12.75" customHeight="1" s="108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12.75" customHeight="1" s="108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 ht="12.75" customHeight="1" s="108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</row>
    <row r="407" ht="12.75" customHeight="1" s="108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 ht="12.75" customHeight="1" s="10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</row>
    <row r="409" ht="12.75" customHeight="1" s="108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 ht="12.75" customHeight="1" s="108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</row>
    <row r="411" ht="12.75" customHeight="1" s="108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 ht="12.75" customHeight="1" s="108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</row>
    <row r="413" ht="12.75" customHeight="1" s="108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 ht="12.75" customHeight="1" s="108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</row>
    <row r="415" ht="12.75" customHeight="1" s="108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 ht="12.75" customHeight="1" s="108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</row>
    <row r="417" ht="12.75" customHeight="1" s="108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 ht="12.75" customHeight="1" s="10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</row>
    <row r="419" ht="12.75" customHeight="1" s="108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 ht="12.75" customHeight="1" s="108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</row>
    <row r="421" ht="12.75" customHeight="1" s="108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 ht="12.75" customHeight="1" s="108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</row>
    <row r="423" ht="12.75" customHeight="1" s="108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12.75" customHeight="1" s="108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 ht="12.75" customHeight="1" s="108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</row>
    <row r="426" ht="12.75" customHeight="1" s="108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 ht="12.75" customHeight="1" s="108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</row>
    <row r="428" ht="12.75" customHeight="1" s="10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 ht="12.75" customHeight="1" s="108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</row>
    <row r="430" ht="12.75" customHeight="1" s="108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 ht="12.75" customHeight="1" s="108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</row>
    <row r="432" ht="12.75" customHeight="1" s="108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 ht="12.75" customHeight="1" s="108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</row>
    <row r="434" ht="12.75" customHeight="1" s="108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 ht="12.75" customHeight="1" s="108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</row>
    <row r="436" ht="12.75" customHeight="1" s="108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 ht="12.75" customHeight="1" s="108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</row>
    <row r="438" ht="12.75" customHeight="1" s="10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 ht="12.75" customHeight="1" s="108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</row>
    <row r="440" ht="12.75" customHeight="1" s="108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 ht="12.75" customHeight="1" s="108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</row>
    <row r="442" ht="12.75" customHeight="1" s="108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12.75" customHeight="1" s="108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12.75" customHeight="1" s="108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 ht="12.75" customHeight="1" s="108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</row>
    <row r="446" ht="12.75" customHeight="1" s="108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 ht="12.75" customHeight="1" s="108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</row>
    <row r="448" ht="12.75" customHeight="1" s="10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 ht="12.75" customHeight="1" s="108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</row>
    <row r="450" ht="12.75" customHeight="1" s="108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 ht="12.75" customHeight="1" s="108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</row>
    <row r="452" ht="12.75" customHeight="1" s="108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 ht="12.75" customHeight="1" s="108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</row>
    <row r="454" ht="12.75" customHeight="1" s="108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 ht="12.75" customHeight="1" s="108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</row>
    <row r="456" ht="12.75" customHeight="1" s="108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12.75" customHeight="1" s="108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 ht="12.75" customHeight="1" s="10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</row>
    <row r="459" ht="12.75" customHeight="1" s="108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 ht="12.75" customHeight="1" s="108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</row>
    <row r="461" ht="12.75" customHeight="1" s="108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 ht="12.75" customHeight="1" s="108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</row>
    <row r="463" ht="12.75" customHeight="1" s="108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 ht="12.75" customHeight="1" s="108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</row>
    <row r="465" ht="12.75" customHeight="1" s="108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 ht="12.75" customHeight="1" s="108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</row>
    <row r="467" ht="12.75" customHeight="1" s="108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 ht="12.75" customHeight="1" s="10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</row>
    <row r="469" ht="12.75" customHeight="1" s="108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12.75" customHeight="1" s="108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 ht="12.75" customHeight="1" s="108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</row>
    <row r="472" ht="12.75" customHeight="1" s="108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 ht="12.75" customHeight="1" s="108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</row>
    <row r="474" ht="12.75" customHeight="1" s="108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 ht="12.75" customHeight="1" s="108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</row>
    <row r="476" ht="12.75" customHeight="1" s="108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 ht="12.75" customHeight="1" s="108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</row>
    <row r="478" ht="12.75" customHeight="1" s="10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 ht="12.75" customHeight="1" s="108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</row>
    <row r="480" ht="12.75" customHeight="1" s="108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 ht="12.75" customHeight="1" s="108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</row>
    <row r="482" ht="12.75" customHeight="1" s="108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12.75" customHeight="1" s="108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 ht="12.75" customHeight="1" s="108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</row>
    <row r="485" ht="12.75" customHeight="1" s="108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 ht="12.75" customHeight="1" s="108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</row>
    <row r="487" ht="12.75" customHeight="1" s="108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 ht="12.75" customHeight="1" s="10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</row>
    <row r="489" ht="12.75" customHeight="1" s="108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 ht="12.75" customHeight="1" s="108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</row>
    <row r="491" ht="12.75" customHeight="1" s="108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 ht="12.75" customHeight="1" s="108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</row>
    <row r="493" ht="12.75" customHeight="1" s="108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 ht="12.75" customHeight="1" s="108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</row>
    <row r="495" ht="12.75" customHeight="1" s="108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12.75" customHeight="1" s="108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12.75" customHeight="1" s="108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 ht="12.75" customHeight="1" s="10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</row>
    <row r="499" ht="12.75" customHeight="1" s="108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12.75" customHeight="1" s="108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12.75" customHeight="1" s="108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12.75" customHeight="1" s="108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 ht="12.75" customHeight="1" s="108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</row>
    <row r="504" ht="12.75" customHeight="1" s="108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12.75" customHeight="1" s="108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 ht="12.75" customHeight="1" s="108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</row>
    <row r="507" ht="12.75" customHeight="1" s="108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12.75" customHeight="1" s="10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12.75" customHeight="1" s="108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12.75" customHeight="1" s="108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 ht="12.75" customHeight="1" s="108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</row>
    <row r="512" ht="12.75" customHeight="1" s="108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12.75" customHeight="1" s="108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 ht="12.75" customHeight="1" s="108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</row>
    <row r="515" ht="12.75" customHeight="1" s="108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12.75" customHeight="1" s="108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12.75" customHeight="1" s="108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12.75" customHeight="1" s="10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 ht="12.75" customHeight="1" s="108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</row>
    <row r="520" ht="12.75" customHeight="1" s="108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12.75" customHeight="1" s="108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 ht="12.75" customHeight="1" s="108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</row>
    <row r="523" ht="12.75" customHeight="1" s="108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  <row r="524" ht="12.75" customHeight="1" s="108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</row>
    <row r="525" ht="12.75" customHeight="1" s="108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</row>
    <row r="526" ht="12.75" customHeight="1" s="108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</row>
    <row r="527" ht="12.75" customHeight="1" s="108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</row>
    <row r="528" ht="12.75" customHeight="1" s="10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</row>
    <row r="529" ht="12.75" customHeight="1" s="108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</row>
    <row r="530" ht="12.75" customHeight="1" s="108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</row>
    <row r="531" ht="12.75" customHeight="1" s="108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</row>
    <row r="532" ht="12.75" customHeight="1" s="108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</row>
    <row r="533" ht="12.75" customHeight="1" s="108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</row>
    <row r="534" ht="12.75" customHeight="1" s="108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</row>
    <row r="535" ht="12.75" customHeight="1" s="108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</row>
    <row r="536" ht="12.75" customHeight="1" s="108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</row>
    <row r="537" ht="12.75" customHeight="1" s="108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</row>
    <row r="538" ht="12.75" customHeight="1" s="10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</row>
    <row r="539" ht="12.75" customHeight="1" s="108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</row>
    <row r="540" ht="12.75" customHeight="1" s="108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</row>
    <row r="541" ht="12.75" customHeight="1" s="108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</row>
    <row r="542" ht="12.75" customHeight="1" s="108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</row>
    <row r="543" ht="12.75" customHeight="1" s="108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</row>
    <row r="544" ht="12.75" customHeight="1" s="108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</row>
    <row r="545" ht="12.75" customHeight="1" s="108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</row>
    <row r="546" ht="12.75" customHeight="1" s="108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</row>
    <row r="547" ht="12.75" customHeight="1" s="108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</row>
    <row r="548" ht="12.75" customHeight="1" s="10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</row>
    <row r="549" ht="12.75" customHeight="1" s="108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</row>
    <row r="550" ht="12.75" customHeight="1" s="108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</row>
    <row r="551" ht="12.75" customHeight="1" s="108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</row>
    <row r="552" ht="12.75" customHeight="1" s="108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</row>
    <row r="553" ht="12.75" customHeight="1" s="108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</row>
    <row r="554" ht="12.75" customHeight="1" s="108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</row>
    <row r="555" ht="12.75" customHeight="1" s="108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</row>
    <row r="556" ht="12.75" customHeight="1" s="108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</row>
    <row r="557" ht="12.75" customHeight="1" s="108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</row>
    <row r="558" ht="12.75" customHeight="1" s="10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</row>
    <row r="559" ht="12.75" customHeight="1" s="108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</row>
    <row r="560" ht="12.75" customHeight="1" s="108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</row>
    <row r="561" ht="12.75" customHeight="1" s="108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</row>
    <row r="562" ht="12.75" customHeight="1" s="108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</row>
    <row r="563" ht="12.75" customHeight="1" s="108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</row>
    <row r="564" ht="12.75" customHeight="1" s="108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</row>
    <row r="565" ht="12.75" customHeight="1" s="108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</row>
    <row r="566" ht="12.75" customHeight="1" s="108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</row>
    <row r="567" ht="12.75" customHeight="1" s="108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</row>
    <row r="568" ht="12.75" customHeight="1" s="10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</row>
    <row r="569" ht="12.75" customHeight="1" s="108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</row>
    <row r="570" ht="12.75" customHeight="1" s="108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</row>
    <row r="571" ht="12.75" customHeight="1" s="108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</row>
    <row r="572" ht="12.75" customHeight="1" s="108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</row>
    <row r="573" ht="12.75" customHeight="1" s="108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</row>
    <row r="574" ht="12.75" customHeight="1" s="108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</row>
    <row r="575" ht="12.75" customHeight="1" s="108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</row>
    <row r="576" ht="12.75" customHeight="1" s="108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</row>
    <row r="577" ht="12.75" customHeight="1" s="108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</row>
    <row r="578" ht="12.75" customHeight="1" s="10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</row>
    <row r="579" ht="12.75" customHeight="1" s="108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</row>
    <row r="580" ht="12.75" customHeight="1" s="108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</row>
    <row r="581" ht="12.75" customHeight="1" s="108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</row>
    <row r="582" ht="12.75" customHeight="1" s="108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</row>
    <row r="583" ht="12.75" customHeight="1" s="108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</row>
    <row r="584" ht="12.75" customHeight="1" s="108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</row>
    <row r="585" ht="12.75" customHeight="1" s="108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</row>
    <row r="586" ht="12.75" customHeight="1" s="108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</row>
    <row r="587" ht="12.75" customHeight="1" s="108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</row>
    <row r="588" ht="12.75" customHeight="1" s="10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</row>
    <row r="589" ht="12.75" customHeight="1" s="108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</row>
    <row r="590" ht="12.75" customHeight="1" s="108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</row>
    <row r="591" ht="12.75" customHeight="1" s="108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</row>
    <row r="592" ht="12.75" customHeight="1" s="108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</row>
    <row r="593" ht="12.75" customHeight="1" s="108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</row>
    <row r="594" ht="12.75" customHeight="1" s="108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</row>
    <row r="595" ht="12.75" customHeight="1" s="108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</row>
    <row r="596" ht="12.75" customHeight="1" s="108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</row>
    <row r="597" ht="12.75" customHeight="1" s="108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</row>
    <row r="598" ht="12.75" customHeight="1" s="10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</row>
    <row r="599" ht="12.75" customHeight="1" s="108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</row>
    <row r="600" ht="12.75" customHeight="1" s="108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</row>
    <row r="601" ht="12.75" customHeight="1" s="108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</row>
    <row r="602" ht="12.75" customHeight="1" s="108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</row>
    <row r="603" ht="12.75" customHeight="1" s="108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</row>
    <row r="604" ht="12.75" customHeight="1" s="108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</row>
    <row r="605" ht="12.75" customHeight="1" s="108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</row>
    <row r="606" ht="12.75" customHeight="1" s="108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</row>
    <row r="607" ht="12.75" customHeight="1" s="108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</row>
    <row r="608" ht="12.75" customHeight="1" s="10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</row>
    <row r="609" ht="12.75" customHeight="1" s="108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</row>
    <row r="610" ht="12.75" customHeight="1" s="108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</row>
    <row r="611" ht="12.75" customHeight="1" s="108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</row>
    <row r="612" ht="12.75" customHeight="1" s="108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</row>
    <row r="613" ht="12.75" customHeight="1" s="108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</row>
    <row r="614" ht="12.75" customHeight="1" s="108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</row>
    <row r="615" ht="12.75" customHeight="1" s="108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</row>
    <row r="616" ht="12.75" customHeight="1" s="108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</row>
    <row r="617" ht="12.75" customHeight="1" s="108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</row>
    <row r="618" ht="12.75" customHeight="1" s="10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</row>
    <row r="619" ht="12.75" customHeight="1" s="108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</row>
    <row r="620" ht="12.75" customHeight="1" s="108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</row>
    <row r="621" ht="12.75" customHeight="1" s="108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</row>
    <row r="622" ht="12.75" customHeight="1" s="108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</row>
    <row r="623" ht="12.75" customHeight="1" s="108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</row>
    <row r="624" ht="12.75" customHeight="1" s="108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</row>
    <row r="625" ht="12.75" customHeight="1" s="108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</row>
    <row r="626" ht="12.75" customHeight="1" s="108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</row>
    <row r="627" ht="12.75" customHeight="1" s="108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</row>
    <row r="628" ht="12.75" customHeight="1" s="10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</row>
    <row r="629" ht="12.75" customHeight="1" s="108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</row>
    <row r="630" ht="12.75" customHeight="1" s="108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</row>
    <row r="631" ht="12.75" customHeight="1" s="108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</row>
    <row r="632" ht="12.75" customHeight="1" s="108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</row>
    <row r="633" ht="12.75" customHeight="1" s="108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</row>
    <row r="634" ht="12.75" customHeight="1" s="108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</row>
    <row r="635" ht="12.75" customHeight="1" s="108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</row>
    <row r="636" ht="12.75" customHeight="1" s="108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</row>
    <row r="637" ht="12.75" customHeight="1" s="108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</row>
    <row r="638" ht="12.75" customHeight="1" s="10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</row>
    <row r="639" ht="12.75" customHeight="1" s="108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</row>
    <row r="640" ht="12.75" customHeight="1" s="108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</row>
    <row r="641" ht="12.75" customHeight="1" s="108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</row>
    <row r="642" ht="12.75" customHeight="1" s="108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</row>
    <row r="643" ht="12.75" customHeight="1" s="108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</row>
    <row r="644" ht="12.75" customHeight="1" s="108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</row>
    <row r="645" ht="12.75" customHeight="1" s="108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</row>
    <row r="646" ht="12.75" customHeight="1" s="108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</row>
    <row r="647" ht="12.75" customHeight="1" s="108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</row>
    <row r="648" ht="12.75" customHeight="1" s="10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</row>
    <row r="649" ht="12.75" customHeight="1" s="108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</row>
    <row r="650" ht="12.75" customHeight="1" s="108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</row>
    <row r="651" ht="12.75" customHeight="1" s="108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</row>
    <row r="652" ht="12.75" customHeight="1" s="108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</row>
    <row r="653" ht="12.75" customHeight="1" s="108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</row>
    <row r="654" ht="12.75" customHeight="1" s="108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</row>
    <row r="655" ht="12.75" customHeight="1" s="108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</row>
    <row r="656" ht="12.75" customHeight="1" s="108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</row>
    <row r="657" ht="12.75" customHeight="1" s="108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</row>
    <row r="658" ht="12.75" customHeight="1" s="10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</row>
    <row r="659" ht="12.75" customHeight="1" s="108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</row>
    <row r="660" ht="12.75" customHeight="1" s="108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</row>
    <row r="661" ht="12.75" customHeight="1" s="108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</row>
    <row r="662" ht="12.75" customHeight="1" s="108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</row>
    <row r="663" ht="12.75" customHeight="1" s="108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</row>
    <row r="664" ht="12.75" customHeight="1" s="108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</row>
    <row r="665" ht="12.75" customHeight="1" s="108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</row>
    <row r="666" ht="12.75" customHeight="1" s="108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</row>
    <row r="667" ht="12.75" customHeight="1" s="108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</row>
    <row r="668" ht="12.75" customHeight="1" s="10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</row>
    <row r="669" ht="12.75" customHeight="1" s="108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</row>
    <row r="670" ht="12.75" customHeight="1" s="108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</row>
    <row r="671" ht="12.75" customHeight="1" s="108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</row>
    <row r="672" ht="12.75" customHeight="1" s="108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</row>
    <row r="673" ht="12.75" customHeight="1" s="108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</row>
    <row r="674" ht="12.75" customHeight="1" s="108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</row>
    <row r="675" ht="12.75" customHeight="1" s="108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</row>
    <row r="676" ht="12.75" customHeight="1" s="108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</row>
    <row r="677" ht="12.75" customHeight="1" s="108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</row>
    <row r="678" ht="12.75" customHeight="1" s="10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</row>
    <row r="679" ht="12.75" customHeight="1" s="108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</row>
    <row r="680" ht="12.75" customHeight="1" s="108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</row>
    <row r="681" ht="12.75" customHeight="1" s="108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</row>
    <row r="682" ht="12.75" customHeight="1" s="108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</row>
    <row r="683" ht="12.75" customHeight="1" s="108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</row>
    <row r="684" ht="12.75" customHeight="1" s="108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</row>
    <row r="685" ht="12.75" customHeight="1" s="108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</row>
    <row r="686" ht="12.75" customHeight="1" s="108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</row>
    <row r="687" ht="12.75" customHeight="1" s="108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</row>
    <row r="688" ht="12.75" customHeight="1" s="10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</row>
    <row r="689" ht="12.75" customHeight="1" s="108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</row>
    <row r="690" ht="12.75" customHeight="1" s="108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</row>
    <row r="691" ht="12.75" customHeight="1" s="108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</row>
    <row r="692" ht="12.75" customHeight="1" s="108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</row>
    <row r="693" ht="12.75" customHeight="1" s="108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</row>
    <row r="694" ht="12.75" customHeight="1" s="108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</row>
    <row r="695" ht="12.75" customHeight="1" s="108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</row>
    <row r="696" ht="12.75" customHeight="1" s="108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</row>
    <row r="697" ht="12.75" customHeight="1" s="108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</row>
    <row r="698" ht="12.75" customHeight="1" s="10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</row>
    <row r="699" ht="12.75" customHeight="1" s="108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</row>
    <row r="700" ht="12.75" customHeight="1" s="108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</row>
    <row r="701" ht="12.75" customHeight="1" s="108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</row>
    <row r="702" ht="12.75" customHeight="1" s="108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</row>
    <row r="703" ht="12.75" customHeight="1" s="108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</row>
    <row r="704" ht="12.75" customHeight="1" s="108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</row>
    <row r="705" ht="12.75" customHeight="1" s="108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</row>
    <row r="706" ht="12.75" customHeight="1" s="108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</row>
    <row r="707" ht="12.75" customHeight="1" s="108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</row>
    <row r="708" ht="12.75" customHeight="1" s="10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</row>
    <row r="709" ht="12.75" customHeight="1" s="108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</row>
    <row r="710" ht="12.75" customHeight="1" s="108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</row>
    <row r="711" ht="12.75" customHeight="1" s="108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</row>
    <row r="712" ht="12.75" customHeight="1" s="108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</row>
    <row r="713" ht="12.75" customHeight="1" s="108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</row>
    <row r="714" ht="12.75" customHeight="1" s="108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</row>
    <row r="715" ht="12.75" customHeight="1" s="108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</row>
    <row r="716" ht="12.75" customHeight="1" s="108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</row>
    <row r="717" ht="12.75" customHeight="1" s="108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</row>
    <row r="718" ht="12.75" customHeight="1" s="10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</row>
    <row r="719" ht="12.75" customHeight="1" s="108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</row>
    <row r="720" ht="12.75" customHeight="1" s="108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</row>
    <row r="721" ht="12.75" customHeight="1" s="108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</row>
    <row r="722" ht="12.75" customHeight="1" s="108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</row>
    <row r="723" ht="12.75" customHeight="1" s="108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</row>
    <row r="724" ht="12.75" customHeight="1" s="108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</row>
    <row r="725" ht="12.75" customHeight="1" s="108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</row>
    <row r="726" ht="12.75" customHeight="1" s="108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</row>
    <row r="727" ht="12.75" customHeight="1" s="108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</row>
    <row r="728" ht="12.75" customHeight="1" s="10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</row>
    <row r="729" ht="12.75" customHeight="1" s="108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</row>
    <row r="730" ht="12.75" customHeight="1" s="108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</row>
    <row r="731" ht="12.75" customHeight="1" s="108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</row>
    <row r="732" ht="12.75" customHeight="1" s="108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</row>
    <row r="733" ht="12.75" customHeight="1" s="108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</row>
    <row r="734" ht="12.75" customHeight="1" s="108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</row>
    <row r="735" ht="12.75" customHeight="1" s="108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</row>
    <row r="736" ht="12.75" customHeight="1" s="108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</row>
    <row r="737" ht="12.75" customHeight="1" s="108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</row>
    <row r="738" ht="12.75" customHeight="1" s="10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</row>
    <row r="739" ht="12.75" customHeight="1" s="108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</row>
    <row r="740" ht="12.75" customHeight="1" s="108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</row>
    <row r="741" ht="12.75" customHeight="1" s="108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</row>
    <row r="742" ht="12.75" customHeight="1" s="108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</row>
    <row r="743" ht="12.75" customHeight="1" s="108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</row>
    <row r="744" ht="12.75" customHeight="1" s="108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</row>
    <row r="745" ht="12.75" customHeight="1" s="108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</row>
    <row r="746" ht="12.75" customHeight="1" s="108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</row>
    <row r="747" ht="12.75" customHeight="1" s="108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</row>
    <row r="748" ht="12.75" customHeight="1" s="10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</row>
    <row r="749" ht="12.75" customHeight="1" s="108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</row>
    <row r="750" ht="12.75" customHeight="1" s="108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</row>
    <row r="751" ht="12.75" customHeight="1" s="108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</row>
    <row r="752" ht="12.75" customHeight="1" s="108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</row>
    <row r="753" ht="12.75" customHeight="1" s="108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</row>
    <row r="754" ht="12.75" customHeight="1" s="108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</row>
    <row r="755" ht="12.75" customHeight="1" s="108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</row>
    <row r="756" ht="12.75" customHeight="1" s="108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</row>
    <row r="757" ht="12.75" customHeight="1" s="108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</row>
    <row r="758" ht="12.75" customHeight="1" s="10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</row>
    <row r="759" ht="12.75" customHeight="1" s="108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</row>
    <row r="760" ht="12.75" customHeight="1" s="108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</row>
    <row r="761" ht="12.75" customHeight="1" s="108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</row>
    <row r="762" ht="12.75" customHeight="1" s="108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</row>
    <row r="763" ht="12.75" customHeight="1" s="108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</row>
    <row r="764" ht="12.75" customHeight="1" s="108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</row>
    <row r="765" ht="12.75" customHeight="1" s="108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</row>
    <row r="766" ht="12.75" customHeight="1" s="108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</row>
    <row r="767" ht="12.75" customHeight="1" s="108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</row>
    <row r="768" ht="12.75" customHeight="1" s="10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</row>
    <row r="769" ht="12.75" customHeight="1" s="108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</row>
    <row r="770" ht="12.75" customHeight="1" s="108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</row>
    <row r="771" ht="12.75" customHeight="1" s="108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</row>
    <row r="772" ht="12.75" customHeight="1" s="108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</row>
    <row r="773" ht="12.75" customHeight="1" s="108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</row>
    <row r="774" ht="12.75" customHeight="1" s="108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</row>
    <row r="775" ht="12.75" customHeight="1" s="108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</row>
    <row r="776" ht="12.75" customHeight="1" s="108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</row>
    <row r="777" ht="12.75" customHeight="1" s="108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</row>
    <row r="778" ht="12.75" customHeight="1" s="10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</row>
    <row r="779" ht="12.75" customHeight="1" s="108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</row>
    <row r="780" ht="12.75" customHeight="1" s="108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</row>
    <row r="781" ht="12.75" customHeight="1" s="108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</row>
    <row r="782" ht="12.75" customHeight="1" s="108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</row>
    <row r="783" ht="12.75" customHeight="1" s="108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</row>
    <row r="784" ht="12.75" customHeight="1" s="108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</row>
    <row r="785" ht="12.75" customHeight="1" s="108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</row>
    <row r="786" ht="12.75" customHeight="1" s="108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</row>
    <row r="787" ht="12.75" customHeight="1" s="108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</row>
    <row r="788" ht="12.75" customHeight="1" s="10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</row>
    <row r="789" ht="12.75" customHeight="1" s="108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</row>
    <row r="790" ht="12.75" customHeight="1" s="108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</row>
    <row r="791" ht="12.75" customHeight="1" s="108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</row>
    <row r="792" ht="12.75" customHeight="1" s="108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</row>
    <row r="793" ht="12.75" customHeight="1" s="108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</row>
    <row r="794" ht="12.75" customHeight="1" s="108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</row>
    <row r="795" ht="12.75" customHeight="1" s="108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</row>
    <row r="796" ht="12.75" customHeight="1" s="108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</row>
    <row r="797" ht="12.75" customHeight="1" s="108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</row>
    <row r="798" ht="12.75" customHeight="1" s="10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</row>
    <row r="799" ht="12.75" customHeight="1" s="108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</row>
    <row r="800" ht="12.75" customHeight="1" s="108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</row>
    <row r="801" ht="12.75" customHeight="1" s="108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</row>
    <row r="802" ht="12.75" customHeight="1" s="108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</row>
    <row r="803" ht="12.75" customHeight="1" s="108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</row>
    <row r="804" ht="12.75" customHeight="1" s="108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</row>
    <row r="805" ht="12.75" customHeight="1" s="108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</row>
    <row r="806" ht="12.75" customHeight="1" s="108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</row>
    <row r="807" ht="12.75" customHeight="1" s="108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</row>
    <row r="808" ht="12.75" customHeight="1" s="10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</row>
    <row r="809" ht="12.75" customHeight="1" s="108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</row>
    <row r="810" ht="12.75" customHeight="1" s="108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</row>
    <row r="811" ht="12.75" customHeight="1" s="108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</row>
    <row r="812" ht="12.75" customHeight="1" s="108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</row>
    <row r="813" ht="12.75" customHeight="1" s="108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</row>
    <row r="814" ht="12.75" customHeight="1" s="108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</row>
    <row r="815" ht="12.75" customHeight="1" s="108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</row>
    <row r="816" ht="12.75" customHeight="1" s="108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</row>
    <row r="817" ht="12.75" customHeight="1" s="108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</row>
    <row r="818" ht="12.75" customHeight="1" s="10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</row>
    <row r="819" ht="12.75" customHeight="1" s="108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</row>
    <row r="820" ht="12.75" customHeight="1" s="108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</row>
    <row r="821" ht="12.75" customHeight="1" s="108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</row>
    <row r="822" ht="12.75" customHeight="1" s="108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</row>
    <row r="823" ht="12.75" customHeight="1" s="108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</row>
    <row r="824" ht="12.75" customHeight="1" s="108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</row>
    <row r="825" ht="12.75" customHeight="1" s="108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</row>
    <row r="826" ht="12.75" customHeight="1" s="108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</row>
    <row r="827" ht="12.75" customHeight="1" s="108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</row>
    <row r="828" ht="12.75" customHeight="1" s="10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</row>
    <row r="829" ht="12.75" customHeight="1" s="108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</row>
    <row r="830" ht="12.75" customHeight="1" s="108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</row>
    <row r="831" ht="12.75" customHeight="1" s="108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</row>
    <row r="832" ht="12.75" customHeight="1" s="108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</row>
    <row r="833" ht="12.75" customHeight="1" s="108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</row>
    <row r="834" ht="12.75" customHeight="1" s="108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</row>
    <row r="835" ht="12.75" customHeight="1" s="108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</row>
    <row r="836" ht="12.75" customHeight="1" s="108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</row>
    <row r="837" ht="12.75" customHeight="1" s="108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</row>
    <row r="838" ht="12.75" customHeight="1" s="10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</row>
    <row r="839" ht="12.75" customHeight="1" s="108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</row>
    <row r="840" ht="12.75" customHeight="1" s="108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</row>
    <row r="841" ht="12.75" customHeight="1" s="108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</row>
    <row r="842" ht="12.75" customHeight="1" s="108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</row>
    <row r="843" ht="12.75" customHeight="1" s="108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</row>
    <row r="844" ht="12.75" customHeight="1" s="108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</row>
    <row r="845" ht="12.75" customHeight="1" s="108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</row>
    <row r="846" ht="12.75" customHeight="1" s="108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</row>
    <row r="847" ht="12.75" customHeight="1" s="108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</row>
    <row r="848" ht="12.75" customHeight="1" s="10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</row>
    <row r="849" ht="12.75" customHeight="1" s="108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</row>
    <row r="850" ht="12.75" customHeight="1" s="108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</row>
    <row r="851" ht="12.75" customHeight="1" s="108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</row>
    <row r="852" ht="12.75" customHeight="1" s="108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</row>
    <row r="853" ht="12.75" customHeight="1" s="108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</row>
    <row r="854" ht="12.75" customHeight="1" s="108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</row>
    <row r="855" ht="12.75" customHeight="1" s="108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</row>
    <row r="856" ht="12.75" customHeight="1" s="108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</row>
    <row r="857" ht="12.75" customHeight="1" s="108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</row>
    <row r="858" ht="12.75" customHeight="1" s="10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</row>
    <row r="859" ht="12.75" customHeight="1" s="108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</row>
    <row r="860" ht="12.75" customHeight="1" s="108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</row>
    <row r="861" ht="12.75" customHeight="1" s="108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</row>
    <row r="862" ht="12.75" customHeight="1" s="108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</row>
    <row r="863" ht="12.75" customHeight="1" s="108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</row>
    <row r="864" ht="12.75" customHeight="1" s="108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</row>
    <row r="865" ht="12.75" customHeight="1" s="108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</row>
    <row r="866" ht="12.75" customHeight="1" s="108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</row>
    <row r="867" ht="12.75" customHeight="1" s="108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</row>
    <row r="868" ht="12.75" customHeight="1" s="10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</row>
    <row r="869" ht="12.75" customHeight="1" s="108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</row>
    <row r="870" ht="12.75" customHeight="1" s="108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</row>
    <row r="871" ht="12.75" customHeight="1" s="108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</row>
    <row r="872" ht="12.75" customHeight="1" s="108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</row>
    <row r="873" ht="12.75" customHeight="1" s="108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</row>
    <row r="874" ht="12.75" customHeight="1" s="108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</row>
    <row r="875" ht="12.75" customHeight="1" s="108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</row>
    <row r="876" ht="12.75" customHeight="1" s="108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</row>
    <row r="877" ht="12.75" customHeight="1" s="108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</row>
    <row r="878" ht="12.75" customHeight="1" s="10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</row>
    <row r="879" ht="12.75" customHeight="1" s="108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</row>
    <row r="880" ht="12.75" customHeight="1" s="108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</row>
    <row r="881" ht="12.75" customHeight="1" s="108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</row>
    <row r="882" ht="12.75" customHeight="1" s="108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</row>
    <row r="883" ht="12.75" customHeight="1" s="108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</row>
    <row r="884" ht="12.75" customHeight="1" s="108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</row>
    <row r="885" ht="12.75" customHeight="1" s="108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</row>
    <row r="886" ht="12.75" customHeight="1" s="108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</row>
    <row r="887" ht="12.75" customHeight="1" s="108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</row>
    <row r="888" ht="12.75" customHeight="1" s="10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</row>
    <row r="889" ht="12.75" customHeight="1" s="108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</row>
    <row r="890" ht="12.75" customHeight="1" s="108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</row>
    <row r="891" ht="12.75" customHeight="1" s="108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</row>
    <row r="892" ht="12.75" customHeight="1" s="108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</row>
    <row r="893" ht="12.75" customHeight="1" s="108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</row>
    <row r="894" ht="12.75" customHeight="1" s="108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</row>
    <row r="895" ht="12.75" customHeight="1" s="108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</row>
    <row r="896" ht="12.75" customHeight="1" s="108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</row>
    <row r="897" ht="12.75" customHeight="1" s="108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</row>
    <row r="898" ht="12.75" customHeight="1" s="10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</row>
    <row r="899" ht="12.75" customHeight="1" s="108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</row>
    <row r="900" ht="12.75" customHeight="1" s="108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</row>
    <row r="901" ht="12.75" customHeight="1" s="108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</row>
    <row r="902" ht="12.75" customHeight="1" s="108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</row>
    <row r="903" ht="12.75" customHeight="1" s="108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</row>
    <row r="904" ht="12.75" customHeight="1" s="108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</row>
    <row r="905" ht="12.75" customHeight="1" s="108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</row>
    <row r="906" ht="12.75" customHeight="1" s="108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</row>
    <row r="907" ht="12.75" customHeight="1" s="108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</row>
    <row r="908" ht="12.75" customHeight="1" s="10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</row>
    <row r="909" ht="12.75" customHeight="1" s="108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</row>
    <row r="910" ht="12.75" customHeight="1" s="108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</row>
    <row r="911" ht="12.75" customHeight="1" s="108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</row>
    <row r="912" ht="12.75" customHeight="1" s="108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</row>
    <row r="913" ht="12.75" customHeight="1" s="108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</row>
    <row r="914" ht="12.75" customHeight="1" s="108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</row>
    <row r="915" ht="12.75" customHeight="1" s="108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</row>
    <row r="916" ht="12.75" customHeight="1" s="108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</row>
    <row r="917" ht="12.75" customHeight="1" s="108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</row>
    <row r="918" ht="12.75" customHeight="1" s="10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</row>
    <row r="919" ht="12.75" customHeight="1" s="108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</row>
    <row r="920" ht="12.75" customHeight="1" s="108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</row>
    <row r="921" ht="12.75" customHeight="1" s="108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</row>
    <row r="922" ht="12.75" customHeight="1" s="108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</row>
    <row r="923" ht="12.75" customHeight="1" s="108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</row>
    <row r="924" ht="12.75" customHeight="1" s="108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</row>
    <row r="925" ht="12.75" customHeight="1" s="108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</row>
    <row r="926" ht="12.75" customHeight="1" s="108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</row>
    <row r="927" ht="12.75" customHeight="1" s="108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</row>
    <row r="928" ht="12.75" customHeight="1" s="10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</row>
    <row r="929" ht="12.75" customHeight="1" s="108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</row>
    <row r="930" ht="12.75" customHeight="1" s="108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</row>
    <row r="931" ht="12.75" customHeight="1" s="108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</row>
    <row r="932" ht="12.75" customHeight="1" s="108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</row>
    <row r="933" ht="12.75" customHeight="1" s="108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</row>
    <row r="934" ht="12.75" customHeight="1" s="108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</row>
    <row r="935" ht="12.75" customHeight="1" s="108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</row>
    <row r="936" ht="12.75" customHeight="1" s="108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</row>
    <row r="937" ht="12.75" customHeight="1" s="108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</row>
    <row r="938" ht="12.75" customHeight="1" s="10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</row>
    <row r="939" ht="12.75" customHeight="1" s="108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</row>
    <row r="940" ht="12.75" customHeight="1" s="108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</row>
    <row r="941" ht="12.75" customHeight="1" s="108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</row>
    <row r="942" ht="12.75" customHeight="1" s="108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</row>
    <row r="943" ht="12.75" customHeight="1" s="108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</row>
    <row r="944" ht="12.75" customHeight="1" s="108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</row>
    <row r="945" ht="12.75" customHeight="1" s="108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</row>
    <row r="946" ht="12.75" customHeight="1" s="108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</row>
    <row r="947" ht="12.75" customHeight="1" s="108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</row>
    <row r="948" ht="12.75" customHeight="1" s="10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</row>
    <row r="949" ht="12.75" customHeight="1" s="108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</row>
    <row r="950" ht="12.75" customHeight="1" s="108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</row>
    <row r="951" ht="12.75" customHeight="1" s="108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</row>
    <row r="952" ht="12.75" customHeight="1" s="108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</row>
    <row r="953" ht="12.75" customHeight="1" s="108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</row>
    <row r="954" ht="12.75" customHeight="1" s="108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</row>
    <row r="955" ht="12.75" customHeight="1" s="108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</row>
    <row r="956" ht="12.75" customHeight="1" s="108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</row>
    <row r="957" ht="12.75" customHeight="1" s="108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</row>
    <row r="958" ht="12.75" customHeight="1" s="10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</row>
    <row r="959" ht="12.75" customHeight="1" s="108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</row>
    <row r="960" ht="12.75" customHeight="1" s="108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</row>
    <row r="961" ht="12.75" customHeight="1" s="108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</row>
    <row r="962" ht="12.75" customHeight="1" s="108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</row>
    <row r="963" ht="12.75" customHeight="1" s="108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</row>
    <row r="964" ht="12.75" customHeight="1" s="108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</row>
    <row r="965" ht="12.75" customHeight="1" s="108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</row>
    <row r="966" ht="12.75" customHeight="1" s="108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</row>
    <row r="967" ht="12.75" customHeight="1" s="108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</row>
    <row r="968" ht="12.75" customHeight="1" s="10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</row>
    <row r="969" ht="12.75" customHeight="1" s="108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</row>
    <row r="970" ht="12.75" customHeight="1" s="108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</row>
    <row r="971" ht="12.75" customHeight="1" s="108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</row>
    <row r="972" ht="12.75" customHeight="1" s="108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</row>
    <row r="973" ht="12.75" customHeight="1" s="108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</row>
    <row r="974" ht="12.75" customHeight="1" s="108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</row>
    <row r="975" ht="12.75" customHeight="1" s="108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</row>
    <row r="976" ht="12.75" customHeight="1" s="108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</row>
    <row r="977" ht="12.75" customHeight="1" s="108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</row>
    <row r="978" ht="12.75" customHeight="1" s="10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</row>
    <row r="979" ht="12.75" customHeight="1" s="108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</row>
    <row r="980" ht="12.75" customHeight="1" s="108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</row>
    <row r="981" ht="12.75" customHeight="1" s="108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</row>
    <row r="982" ht="12.75" customHeight="1" s="108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</row>
    <row r="983" ht="12.75" customHeight="1" s="108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</row>
    <row r="984" ht="12.75" customHeight="1" s="108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</row>
    <row r="985" ht="12.75" customHeight="1" s="108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</row>
    <row r="986" ht="12.75" customHeight="1" s="108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</row>
    <row r="987" ht="12.75" customHeight="1" s="108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</row>
    <row r="988" ht="12.75" customHeight="1" s="10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</row>
    <row r="989" ht="12.75" customHeight="1" s="108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</row>
    <row r="990" ht="12.75" customHeight="1" s="108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</row>
    <row r="991" ht="12.75" customHeight="1" s="108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</row>
    <row r="992" ht="12.75" customHeight="1" s="108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</row>
    <row r="993" ht="12.75" customHeight="1" s="108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</row>
    <row r="994" ht="12.75" customHeight="1" s="108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</row>
    <row r="995" ht="12.75" customHeight="1" s="108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</row>
    <row r="996" ht="12.75" customHeight="1" s="108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</row>
    <row r="997" ht="12.75" customHeight="1" s="108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</row>
  </sheetData>
  <mergeCells count="16">
    <mergeCell ref="B2:C2"/>
    <mergeCell ref="S2:S3"/>
    <mergeCell ref="A16:O16"/>
    <mergeCell ref="E2:F2"/>
    <mergeCell ref="K2:K3"/>
    <mergeCell ref="O2:O3"/>
    <mergeCell ref="M2:M3"/>
    <mergeCell ref="A2:A3"/>
    <mergeCell ref="Q2:Q3"/>
    <mergeCell ref="N2:N3"/>
    <mergeCell ref="D2:D3"/>
    <mergeCell ref="R2:R3"/>
    <mergeCell ref="P2:P3"/>
    <mergeCell ref="J2:J3"/>
    <mergeCell ref="G2:G3"/>
    <mergeCell ref="L2:L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S14"/>
  <sheetViews>
    <sheetView zoomScale="70" zoomScaleNormal="70" workbookViewId="0">
      <selection activeCell="H9" sqref="H9"/>
    </sheetView>
  </sheetViews>
  <sheetFormatPr baseColWidth="8" defaultRowHeight="13"/>
  <cols>
    <col width="30.59765625" customWidth="1" style="108" min="1" max="1"/>
    <col width="9.59765625" customWidth="1" style="108" min="2" max="3"/>
    <col width="13.296875" customWidth="1" style="108" min="4" max="4"/>
    <col width="9.59765625" customWidth="1" style="108" min="5" max="6"/>
    <col width="11.296875" customWidth="1" style="108" min="7" max="7"/>
    <col width="15.8984375" customWidth="1" style="108" min="8" max="8"/>
    <col width="17.296875" customWidth="1" style="108" min="9" max="9"/>
    <col width="15.8984375" customWidth="1" style="108" min="10" max="10"/>
    <col width="15" customWidth="1" style="108" min="11" max="14"/>
    <col width="15.59765625" customWidth="1" style="108" min="15" max="15"/>
    <col width="19.296875" customWidth="1" style="108" min="16" max="16"/>
    <col width="25.59765625" customWidth="1" style="108" min="17" max="17"/>
    <col width="19.69921875" customWidth="1" style="108" min="18" max="18"/>
    <col width="16" customWidth="1" style="108" min="19" max="19"/>
  </cols>
  <sheetData>
    <row r="1" ht="50" customHeight="1" s="108" thickBot="1">
      <c r="A1" s="78" t="inlineStr">
        <is>
          <t>Số phòng</t>
        </is>
      </c>
      <c r="B1" s="76" t="inlineStr">
        <is>
          <t>Số cũ</t>
        </is>
      </c>
      <c r="C1" s="76" t="inlineStr">
        <is>
          <t>Số mới</t>
        </is>
      </c>
      <c r="D1" s="77" t="inlineStr">
        <is>
          <t>SỐ ĐIỆN
TIÊU THỤ</t>
        </is>
      </c>
      <c r="E1" s="76" t="inlineStr">
        <is>
          <t>Số cũ</t>
        </is>
      </c>
      <c r="F1" s="76" t="inlineStr">
        <is>
          <t>Số mới</t>
        </is>
      </c>
      <c r="G1" s="77" t="inlineStr">
        <is>
          <t>SỐ NƯỚC
TIÊU THỤ</t>
        </is>
      </c>
      <c r="H1" s="77" t="inlineStr">
        <is>
          <t>TIỀN ĐIỆN /SỐ</t>
        </is>
      </c>
      <c r="I1" s="77" t="inlineStr">
        <is>
          <t>TIỀN NƯỚC/ KHỐI</t>
        </is>
      </c>
      <c r="J1" s="77" t="inlineStr">
        <is>
          <t>TIỀN PHÒNG</t>
        </is>
      </c>
      <c r="K1" s="77" t="inlineStr">
        <is>
          <t>RÁC</t>
        </is>
      </c>
      <c r="L1" s="77" t="inlineStr">
        <is>
          <t>INTERNET</t>
        </is>
      </c>
      <c r="M1" s="77" t="inlineStr">
        <is>
          <t>ĐIỆN HAO TẢI (Kwh)</t>
        </is>
      </c>
      <c r="N1" s="77" t="inlineStr">
        <is>
          <t>TIỀN ĐIỆN HAO TẢI</t>
        </is>
      </c>
      <c r="O1" s="77" t="inlineStr">
        <is>
          <t>NỢ CŨ</t>
        </is>
      </c>
      <c r="P1" s="77" t="inlineStr">
        <is>
          <t>TỔNG CỘNG</t>
        </is>
      </c>
      <c r="Q1" s="77" t="inlineStr">
        <is>
          <t>HỌ TÊN</t>
        </is>
      </c>
      <c r="R1" s="77" t="inlineStr">
        <is>
          <t>CMND</t>
        </is>
      </c>
      <c r="S1" s="79" t="inlineStr">
        <is>
          <t>KÍ TÊN</t>
        </is>
      </c>
    </row>
    <row r="2" ht="25" customHeight="1" s="108">
      <c r="A2" s="32">
        <f>'Quản lý điện nước, chi phí tiền'!A4</f>
        <v/>
      </c>
      <c r="B2" s="33">
        <f>'Quản lý điện nước, chi phí tiền'!B4</f>
        <v/>
      </c>
      <c r="C2" s="33">
        <f>'Quản lý điện nước, chi phí tiền'!C4</f>
        <v/>
      </c>
      <c r="D2" s="34">
        <f>'Quản lý điện nước, chi phí tiền'!D4</f>
        <v/>
      </c>
      <c r="E2" s="35">
        <f>'Quản lý điện nước, chi phí tiền'!E4</f>
        <v/>
      </c>
      <c r="F2" s="46">
        <f>'Quản lý điện nước, chi phí tiền'!F4</f>
        <v/>
      </c>
      <c r="G2" s="36">
        <f>'Quản lý điện nước, chi phí tiền'!G4</f>
        <v/>
      </c>
      <c r="H2" s="37">
        <f>'Quản lý điện nước, chi phí tiền'!H4</f>
        <v/>
      </c>
      <c r="I2" s="38">
        <f>'Quản lý điện nước, chi phí tiền'!I4</f>
        <v/>
      </c>
      <c r="J2" s="38">
        <f>'Quản lý điện nước, chi phí tiền'!J4</f>
        <v/>
      </c>
      <c r="K2" s="38">
        <f>'Quản lý điện nước, chi phí tiền'!K4</f>
        <v/>
      </c>
      <c r="L2" s="38">
        <f>'Quản lý điện nước, chi phí tiền'!L4</f>
        <v/>
      </c>
      <c r="M2" s="74">
        <f>'Quản lý điện nước, chi phí tiền'!M4</f>
        <v/>
      </c>
      <c r="N2" s="67">
        <f>'Quản lý điện nước, chi phí tiền'!N4</f>
        <v/>
      </c>
      <c r="O2" s="38">
        <f>'Quản lý điện nước, chi phí tiền'!O4</f>
        <v/>
      </c>
      <c r="P2" s="39">
        <f>'Quản lý điện nước, chi phí tiền'!P4</f>
        <v/>
      </c>
      <c r="Q2" s="69">
        <f>'Quản lý điện nước, chi phí tiền'!Q4</f>
        <v/>
      </c>
      <c r="R2" s="40">
        <f>'Quản lý điện nước, chi phí tiền'!R4</f>
        <v/>
      </c>
      <c r="S2" s="41">
        <f>'Quản lý điện nước, chi phí tiền'!S4</f>
        <v/>
      </c>
    </row>
    <row r="3" ht="25" customHeight="1" s="108">
      <c r="A3" s="43">
        <f>'Quản lý điện nước, chi phí tiền'!A5</f>
        <v/>
      </c>
      <c r="B3" s="44">
        <f>'Quản lý điện nước, chi phí tiền'!B5</f>
        <v/>
      </c>
      <c r="C3" s="44">
        <f>'Quản lý điện nước, chi phí tiền'!C5</f>
        <v/>
      </c>
      <c r="D3" s="45">
        <f>'Quản lý điện nước, chi phí tiền'!D5</f>
        <v/>
      </c>
      <c r="E3" s="46">
        <f>'Quản lý điện nước, chi phí tiền'!E5</f>
        <v/>
      </c>
      <c r="F3" s="46">
        <f>'Quản lý điện nước, chi phí tiền'!F5</f>
        <v/>
      </c>
      <c r="G3" s="47">
        <f>'Quản lý điện nước, chi phí tiền'!G5</f>
        <v/>
      </c>
      <c r="H3" s="48">
        <f>'Quản lý điện nước, chi phí tiền'!H5</f>
        <v/>
      </c>
      <c r="I3" s="49">
        <f>'Quản lý điện nước, chi phí tiền'!I5</f>
        <v/>
      </c>
      <c r="J3" s="49">
        <f>'Quản lý điện nước, chi phí tiền'!J5</f>
        <v/>
      </c>
      <c r="K3" s="38">
        <f>'Quản lý điện nước, chi phí tiền'!K5</f>
        <v/>
      </c>
      <c r="L3" s="38">
        <f>'Quản lý điện nước, chi phí tiền'!L5</f>
        <v/>
      </c>
      <c r="M3" s="74">
        <f>'Quản lý điện nước, chi phí tiền'!M5</f>
        <v/>
      </c>
      <c r="N3" s="67">
        <f>'Quản lý điện nước, chi phí tiền'!N5</f>
        <v/>
      </c>
      <c r="O3" s="49">
        <f>'Quản lý điện nước, chi phí tiền'!O5</f>
        <v/>
      </c>
      <c r="P3" s="39">
        <f>'Quản lý điện nước, chi phí tiền'!P5</f>
        <v/>
      </c>
      <c r="Q3" s="50">
        <f>'Quản lý điện nước, chi phí tiền'!Q5</f>
        <v/>
      </c>
      <c r="R3" s="51">
        <f>'Quản lý điện nước, chi phí tiền'!R5</f>
        <v/>
      </c>
      <c r="S3" s="52">
        <f>'Quản lý điện nước, chi phí tiền'!S5</f>
        <v/>
      </c>
    </row>
    <row r="4" ht="25" customHeight="1" s="108">
      <c r="A4" s="43">
        <f>'Quản lý điện nước, chi phí tiền'!A6</f>
        <v/>
      </c>
      <c r="B4" s="44">
        <f>'Quản lý điện nước, chi phí tiền'!B6</f>
        <v/>
      </c>
      <c r="C4" s="44">
        <f>'Quản lý điện nước, chi phí tiền'!C6</f>
        <v/>
      </c>
      <c r="D4" s="45">
        <f>'Quản lý điện nước, chi phí tiền'!D6</f>
        <v/>
      </c>
      <c r="E4" s="46">
        <f>'Quản lý điện nước, chi phí tiền'!E6</f>
        <v/>
      </c>
      <c r="F4" s="46">
        <f>'Quản lý điện nước, chi phí tiền'!F6</f>
        <v/>
      </c>
      <c r="G4" s="47">
        <f>'Quản lý điện nước, chi phí tiền'!G6</f>
        <v/>
      </c>
      <c r="H4" s="48">
        <f>'Quản lý điện nước, chi phí tiền'!H6</f>
        <v/>
      </c>
      <c r="I4" s="49">
        <f>'Quản lý điện nước, chi phí tiền'!I6</f>
        <v/>
      </c>
      <c r="J4" s="49">
        <f>'Quản lý điện nước, chi phí tiền'!J6</f>
        <v/>
      </c>
      <c r="K4" s="38">
        <f>'Quản lý điện nước, chi phí tiền'!K6</f>
        <v/>
      </c>
      <c r="L4" s="38">
        <f>'Quản lý điện nước, chi phí tiền'!L6</f>
        <v/>
      </c>
      <c r="M4" s="74">
        <f>'Quản lý điện nước, chi phí tiền'!M6</f>
        <v/>
      </c>
      <c r="N4" s="67">
        <f>'Quản lý điện nước, chi phí tiền'!N6</f>
        <v/>
      </c>
      <c r="O4" s="49">
        <f>'Quản lý điện nước, chi phí tiền'!O6</f>
        <v/>
      </c>
      <c r="P4" s="39">
        <f>'Quản lý điện nước, chi phí tiền'!P6</f>
        <v/>
      </c>
      <c r="Q4" s="50">
        <f>'Quản lý điện nước, chi phí tiền'!Q6</f>
        <v/>
      </c>
      <c r="R4" s="51">
        <f>'Quản lý điện nước, chi phí tiền'!R6</f>
        <v/>
      </c>
      <c r="S4" s="52">
        <f>'Quản lý điện nước, chi phí tiền'!S6</f>
        <v/>
      </c>
    </row>
    <row r="5" ht="25" customHeight="1" s="108">
      <c r="A5" s="43">
        <f>'Quản lý điện nước, chi phí tiền'!A7</f>
        <v/>
      </c>
      <c r="B5" s="44">
        <f>'Quản lý điện nước, chi phí tiền'!B7</f>
        <v/>
      </c>
      <c r="C5" s="44">
        <f>'Quản lý điện nước, chi phí tiền'!C7</f>
        <v/>
      </c>
      <c r="D5" s="45">
        <f>'Quản lý điện nước, chi phí tiền'!D7</f>
        <v/>
      </c>
      <c r="E5" s="46">
        <f>'Quản lý điện nước, chi phí tiền'!E7</f>
        <v/>
      </c>
      <c r="F5" s="46">
        <f>'Quản lý điện nước, chi phí tiền'!F7</f>
        <v/>
      </c>
      <c r="G5" s="47">
        <f>'Quản lý điện nước, chi phí tiền'!G7</f>
        <v/>
      </c>
      <c r="H5" s="48">
        <f>'Quản lý điện nước, chi phí tiền'!H7</f>
        <v/>
      </c>
      <c r="I5" s="49">
        <f>'Quản lý điện nước, chi phí tiền'!I7</f>
        <v/>
      </c>
      <c r="J5" s="49">
        <f>'Quản lý điện nước, chi phí tiền'!J7</f>
        <v/>
      </c>
      <c r="K5" s="38">
        <f>'Quản lý điện nước, chi phí tiền'!K7</f>
        <v/>
      </c>
      <c r="L5" s="38">
        <f>'Quản lý điện nước, chi phí tiền'!L7</f>
        <v/>
      </c>
      <c r="M5" s="74">
        <f>'Quản lý điện nước, chi phí tiền'!M7</f>
        <v/>
      </c>
      <c r="N5" s="67">
        <f>'Quản lý điện nước, chi phí tiền'!N7</f>
        <v/>
      </c>
      <c r="O5" s="49">
        <f>'Quản lý điện nước, chi phí tiền'!O7</f>
        <v/>
      </c>
      <c r="P5" s="39">
        <f>'Quản lý điện nước, chi phí tiền'!P7</f>
        <v/>
      </c>
      <c r="Q5" s="50">
        <f>'Quản lý điện nước, chi phí tiền'!Q7</f>
        <v/>
      </c>
      <c r="R5" s="51">
        <f>'Quản lý điện nước, chi phí tiền'!R7</f>
        <v/>
      </c>
      <c r="S5" s="52">
        <f>'Quản lý điện nước, chi phí tiền'!S7</f>
        <v/>
      </c>
    </row>
    <row r="6" ht="25" customHeight="1" s="108">
      <c r="A6" s="43">
        <f>'Quản lý điện nước, chi phí tiền'!A8</f>
        <v/>
      </c>
      <c r="B6" s="44">
        <f>'Quản lý điện nước, chi phí tiền'!B8</f>
        <v/>
      </c>
      <c r="C6" s="44">
        <f>'Quản lý điện nước, chi phí tiền'!C8</f>
        <v/>
      </c>
      <c r="D6" s="45">
        <f>'Quản lý điện nước, chi phí tiền'!D8</f>
        <v/>
      </c>
      <c r="E6" s="46">
        <f>'Quản lý điện nước, chi phí tiền'!E8</f>
        <v/>
      </c>
      <c r="F6" s="46">
        <f>'Quản lý điện nước, chi phí tiền'!F8</f>
        <v/>
      </c>
      <c r="G6" s="47">
        <f>'Quản lý điện nước, chi phí tiền'!G8</f>
        <v/>
      </c>
      <c r="H6" s="48">
        <f>'Quản lý điện nước, chi phí tiền'!H8</f>
        <v/>
      </c>
      <c r="I6" s="49">
        <f>'Quản lý điện nước, chi phí tiền'!I8</f>
        <v/>
      </c>
      <c r="J6" s="49">
        <f>'Quản lý điện nước, chi phí tiền'!J8</f>
        <v/>
      </c>
      <c r="K6" s="38">
        <f>'Quản lý điện nước, chi phí tiền'!K8</f>
        <v/>
      </c>
      <c r="L6" s="38">
        <f>'Quản lý điện nước, chi phí tiền'!L8</f>
        <v/>
      </c>
      <c r="M6" s="74">
        <f>'Quản lý điện nước, chi phí tiền'!M8</f>
        <v/>
      </c>
      <c r="N6" s="67">
        <f>'Quản lý điện nước, chi phí tiền'!N8</f>
        <v/>
      </c>
      <c r="O6" s="49">
        <f>'Quản lý điện nước, chi phí tiền'!O8</f>
        <v/>
      </c>
      <c r="P6" s="39">
        <f>'Quản lý điện nước, chi phí tiền'!P8</f>
        <v/>
      </c>
      <c r="Q6" s="50">
        <f>'Quản lý điện nước, chi phí tiền'!Q8</f>
        <v/>
      </c>
      <c r="R6" s="51">
        <f>'Quản lý điện nước, chi phí tiền'!R8</f>
        <v/>
      </c>
      <c r="S6" s="52">
        <f>'Quản lý điện nước, chi phí tiền'!S8</f>
        <v/>
      </c>
    </row>
    <row r="7" ht="25" customHeight="1" s="108">
      <c r="A7" s="43">
        <f>'Quản lý điện nước, chi phí tiền'!A9</f>
        <v/>
      </c>
      <c r="B7" s="44">
        <f>'Quản lý điện nước, chi phí tiền'!B9</f>
        <v/>
      </c>
      <c r="C7" s="44">
        <f>'Quản lý điện nước, chi phí tiền'!C9</f>
        <v/>
      </c>
      <c r="D7" s="45">
        <f>'Quản lý điện nước, chi phí tiền'!D9</f>
        <v/>
      </c>
      <c r="E7" s="46">
        <f>'Quản lý điện nước, chi phí tiền'!E9</f>
        <v/>
      </c>
      <c r="F7" s="46">
        <f>'Quản lý điện nước, chi phí tiền'!F9</f>
        <v/>
      </c>
      <c r="G7" s="47">
        <f>'Quản lý điện nước, chi phí tiền'!G9</f>
        <v/>
      </c>
      <c r="H7" s="48">
        <f>'Quản lý điện nước, chi phí tiền'!H9</f>
        <v/>
      </c>
      <c r="I7" s="49">
        <f>'Quản lý điện nước, chi phí tiền'!I9</f>
        <v/>
      </c>
      <c r="J7" s="49">
        <f>'Quản lý điện nước, chi phí tiền'!J9</f>
        <v/>
      </c>
      <c r="K7" s="38">
        <f>'Quản lý điện nước, chi phí tiền'!K9</f>
        <v/>
      </c>
      <c r="L7" s="38">
        <f>'Quản lý điện nước, chi phí tiền'!L9</f>
        <v/>
      </c>
      <c r="M7" s="74">
        <f>'Quản lý điện nước, chi phí tiền'!M9</f>
        <v/>
      </c>
      <c r="N7" s="67">
        <f>'Quản lý điện nước, chi phí tiền'!N9</f>
        <v/>
      </c>
      <c r="O7" s="49">
        <f>'Quản lý điện nước, chi phí tiền'!O9</f>
        <v/>
      </c>
      <c r="P7" s="39">
        <f>'Quản lý điện nước, chi phí tiền'!P9</f>
        <v/>
      </c>
      <c r="Q7" s="50">
        <f>'Quản lý điện nước, chi phí tiền'!Q9</f>
        <v/>
      </c>
      <c r="R7" s="51">
        <f>'Quản lý điện nước, chi phí tiền'!R9</f>
        <v/>
      </c>
      <c r="S7" s="52">
        <f>'Quản lý điện nước, chi phí tiền'!S9</f>
        <v/>
      </c>
    </row>
    <row r="8" ht="25" customHeight="1" s="108">
      <c r="A8" s="43">
        <f>'Quản lý điện nước, chi phí tiền'!A10</f>
        <v/>
      </c>
      <c r="B8" s="44">
        <f>'Quản lý điện nước, chi phí tiền'!B10</f>
        <v/>
      </c>
      <c r="C8" s="44">
        <f>'Quản lý điện nước, chi phí tiền'!C10</f>
        <v/>
      </c>
      <c r="D8" s="45">
        <f>'Quản lý điện nước, chi phí tiền'!D10</f>
        <v/>
      </c>
      <c r="E8" s="46">
        <f>'Quản lý điện nước, chi phí tiền'!E10</f>
        <v/>
      </c>
      <c r="F8" s="46">
        <f>'Quản lý điện nước, chi phí tiền'!F10</f>
        <v/>
      </c>
      <c r="G8" s="47">
        <f>'Quản lý điện nước, chi phí tiền'!G10</f>
        <v/>
      </c>
      <c r="H8" s="48">
        <f>'Quản lý điện nước, chi phí tiền'!H10</f>
        <v/>
      </c>
      <c r="I8" s="49">
        <f>'Quản lý điện nước, chi phí tiền'!I10</f>
        <v/>
      </c>
      <c r="J8" s="49">
        <f>'Quản lý điện nước, chi phí tiền'!J10</f>
        <v/>
      </c>
      <c r="K8" s="38">
        <f>'Quản lý điện nước, chi phí tiền'!K10</f>
        <v/>
      </c>
      <c r="L8" s="38">
        <f>'Quản lý điện nước, chi phí tiền'!L10</f>
        <v/>
      </c>
      <c r="M8" s="74">
        <f>'Quản lý điện nước, chi phí tiền'!M10</f>
        <v/>
      </c>
      <c r="N8" s="67">
        <f>'Quản lý điện nước, chi phí tiền'!N10</f>
        <v/>
      </c>
      <c r="O8" s="49">
        <f>'Quản lý điện nước, chi phí tiền'!O10</f>
        <v/>
      </c>
      <c r="P8" s="39">
        <f>'Quản lý điện nước, chi phí tiền'!P10</f>
        <v/>
      </c>
      <c r="Q8" s="50">
        <f>'Quản lý điện nước, chi phí tiền'!Q10</f>
        <v/>
      </c>
      <c r="R8" s="51">
        <f>'Quản lý điện nước, chi phí tiền'!R10</f>
        <v/>
      </c>
      <c r="S8" s="52">
        <f>'Quản lý điện nước, chi phí tiền'!S10</f>
        <v/>
      </c>
    </row>
    <row r="9" ht="25" customHeight="1" s="108">
      <c r="A9" s="43">
        <f>'Quản lý điện nước, chi phí tiền'!A11</f>
        <v/>
      </c>
      <c r="B9" s="44">
        <f>'Quản lý điện nước, chi phí tiền'!B11</f>
        <v/>
      </c>
      <c r="C9" s="44">
        <f>'Quản lý điện nước, chi phí tiền'!C11</f>
        <v/>
      </c>
      <c r="D9" s="45">
        <f>'Quản lý điện nước, chi phí tiền'!D11</f>
        <v/>
      </c>
      <c r="E9" s="46">
        <f>'Quản lý điện nước, chi phí tiền'!E11</f>
        <v/>
      </c>
      <c r="F9" s="46">
        <f>'Quản lý điện nước, chi phí tiền'!F11</f>
        <v/>
      </c>
      <c r="G9" s="47">
        <f>'Quản lý điện nước, chi phí tiền'!G11</f>
        <v/>
      </c>
      <c r="H9" s="48">
        <f>'Quản lý điện nước, chi phí tiền'!H11</f>
        <v/>
      </c>
      <c r="I9" s="49">
        <f>'Quản lý điện nước, chi phí tiền'!I11</f>
        <v/>
      </c>
      <c r="J9" s="49">
        <f>'Quản lý điện nước, chi phí tiền'!J11</f>
        <v/>
      </c>
      <c r="K9" s="38">
        <f>'Quản lý điện nước, chi phí tiền'!K11</f>
        <v/>
      </c>
      <c r="L9" s="38">
        <f>'Quản lý điện nước, chi phí tiền'!L11</f>
        <v/>
      </c>
      <c r="M9" s="74">
        <f>'Quản lý điện nước, chi phí tiền'!M11</f>
        <v/>
      </c>
      <c r="N9" s="67">
        <f>'Quản lý điện nước, chi phí tiền'!N11</f>
        <v/>
      </c>
      <c r="O9" s="49">
        <f>'Quản lý điện nước, chi phí tiền'!O11</f>
        <v/>
      </c>
      <c r="P9" s="39">
        <f>'Quản lý điện nước, chi phí tiền'!P11</f>
        <v/>
      </c>
      <c r="Q9" s="50">
        <f>'Quản lý điện nước, chi phí tiền'!Q11</f>
        <v/>
      </c>
      <c r="R9" s="51">
        <f>'Quản lý điện nước, chi phí tiền'!R11</f>
        <v/>
      </c>
      <c r="S9" s="52">
        <f>'Quản lý điện nước, chi phí tiền'!S11</f>
        <v/>
      </c>
    </row>
    <row r="10" ht="25" customHeight="1" s="108">
      <c r="A10" s="43">
        <f>'Quản lý điện nước, chi phí tiền'!A12</f>
        <v/>
      </c>
      <c r="B10" s="44">
        <f>'Quản lý điện nước, chi phí tiền'!B12</f>
        <v/>
      </c>
      <c r="C10" s="44">
        <f>'Quản lý điện nước, chi phí tiền'!C12</f>
        <v/>
      </c>
      <c r="D10" s="45">
        <f>'Quản lý điện nước, chi phí tiền'!D12</f>
        <v/>
      </c>
      <c r="E10" s="46">
        <f>'Quản lý điện nước, chi phí tiền'!E12</f>
        <v/>
      </c>
      <c r="F10" s="46">
        <f>'Quản lý điện nước, chi phí tiền'!F12</f>
        <v/>
      </c>
      <c r="G10" s="47">
        <f>'Quản lý điện nước, chi phí tiền'!G12</f>
        <v/>
      </c>
      <c r="H10" s="48">
        <f>'Quản lý điện nước, chi phí tiền'!H12</f>
        <v/>
      </c>
      <c r="I10" s="49">
        <f>'Quản lý điện nước, chi phí tiền'!I12</f>
        <v/>
      </c>
      <c r="J10" s="49">
        <f>'Quản lý điện nước, chi phí tiền'!J12</f>
        <v/>
      </c>
      <c r="K10" s="38">
        <f>'Quản lý điện nước, chi phí tiền'!K12</f>
        <v/>
      </c>
      <c r="L10" s="38">
        <f>'Quản lý điện nước, chi phí tiền'!L12</f>
        <v/>
      </c>
      <c r="M10" s="74">
        <f>'Quản lý điện nước, chi phí tiền'!M12</f>
        <v/>
      </c>
      <c r="N10" s="67">
        <f>'Quản lý điện nước, chi phí tiền'!N12</f>
        <v/>
      </c>
      <c r="O10" s="49">
        <f>'Quản lý điện nước, chi phí tiền'!O12</f>
        <v/>
      </c>
      <c r="P10" s="39">
        <f>'Quản lý điện nước, chi phí tiền'!P12</f>
        <v/>
      </c>
      <c r="Q10" s="50">
        <f>'Quản lý điện nước, chi phí tiền'!Q12</f>
        <v/>
      </c>
      <c r="R10" s="51">
        <f>'Quản lý điện nước, chi phí tiền'!R12</f>
        <v/>
      </c>
      <c r="S10" s="52">
        <f>'Quản lý điện nước, chi phí tiền'!S12</f>
        <v/>
      </c>
    </row>
    <row r="11" ht="25" customHeight="1" s="108">
      <c r="A11" s="43">
        <f>'Quản lý điện nước, chi phí tiền'!A13</f>
        <v/>
      </c>
      <c r="B11" s="44">
        <f>'Quản lý điện nước, chi phí tiền'!B13</f>
        <v/>
      </c>
      <c r="C11" s="44">
        <f>'Quản lý điện nước, chi phí tiền'!C13</f>
        <v/>
      </c>
      <c r="D11" s="45">
        <f>'Quản lý điện nước, chi phí tiền'!D13</f>
        <v/>
      </c>
      <c r="E11" s="46">
        <f>'Quản lý điện nước, chi phí tiền'!E13</f>
        <v/>
      </c>
      <c r="F11" s="46">
        <f>'Quản lý điện nước, chi phí tiền'!F13</f>
        <v/>
      </c>
      <c r="G11" s="47">
        <f>'Quản lý điện nước, chi phí tiền'!G13</f>
        <v/>
      </c>
      <c r="H11" s="48">
        <f>'Quản lý điện nước, chi phí tiền'!H13</f>
        <v/>
      </c>
      <c r="I11" s="49">
        <f>'Quản lý điện nước, chi phí tiền'!I13</f>
        <v/>
      </c>
      <c r="J11" s="49">
        <f>'Quản lý điện nước, chi phí tiền'!J13</f>
        <v/>
      </c>
      <c r="K11" s="38">
        <f>'Quản lý điện nước, chi phí tiền'!K13</f>
        <v/>
      </c>
      <c r="L11" s="38">
        <f>'Quản lý điện nước, chi phí tiền'!L13</f>
        <v/>
      </c>
      <c r="M11" s="74">
        <f>'Quản lý điện nước, chi phí tiền'!M13</f>
        <v/>
      </c>
      <c r="N11" s="67">
        <f>'Quản lý điện nước, chi phí tiền'!N13</f>
        <v/>
      </c>
      <c r="O11" s="49">
        <f>'Quản lý điện nước, chi phí tiền'!O13</f>
        <v/>
      </c>
      <c r="P11" s="39">
        <f>'Quản lý điện nước, chi phí tiền'!P13</f>
        <v/>
      </c>
      <c r="Q11" s="50">
        <f>'Quản lý điện nước, chi phí tiền'!Q13</f>
        <v/>
      </c>
      <c r="R11" s="51">
        <f>'Quản lý điện nước, chi phí tiền'!R13</f>
        <v/>
      </c>
      <c r="S11" s="52">
        <f>'Quản lý điện nước, chi phí tiền'!S13</f>
        <v/>
      </c>
    </row>
    <row r="12" ht="25" customHeight="1" s="108">
      <c r="A12" s="43">
        <f>'Quản lý điện nước, chi phí tiền'!A14</f>
        <v/>
      </c>
      <c r="B12" s="44">
        <f>'Quản lý điện nước, chi phí tiền'!B14</f>
        <v/>
      </c>
      <c r="C12" s="44">
        <f>'Quản lý điện nước, chi phí tiền'!C14</f>
        <v/>
      </c>
      <c r="D12" s="45">
        <f>'Quản lý điện nước, chi phí tiền'!D14</f>
        <v/>
      </c>
      <c r="E12" s="46">
        <f>'Quản lý điện nước, chi phí tiền'!E14</f>
        <v/>
      </c>
      <c r="F12" s="46">
        <f>'Quản lý điện nước, chi phí tiền'!F14</f>
        <v/>
      </c>
      <c r="G12" s="47">
        <f>'Quản lý điện nước, chi phí tiền'!G14</f>
        <v/>
      </c>
      <c r="H12" s="48">
        <f>'Quản lý điện nước, chi phí tiền'!H14</f>
        <v/>
      </c>
      <c r="I12" s="49">
        <f>'Quản lý điện nước, chi phí tiền'!I14</f>
        <v/>
      </c>
      <c r="J12" s="49">
        <f>'Quản lý điện nước, chi phí tiền'!J14</f>
        <v/>
      </c>
      <c r="K12" s="38">
        <f>'Quản lý điện nước, chi phí tiền'!K14</f>
        <v/>
      </c>
      <c r="L12" s="38">
        <f>'Quản lý điện nước, chi phí tiền'!L14</f>
        <v/>
      </c>
      <c r="M12" s="74">
        <f>'Quản lý điện nước, chi phí tiền'!M14</f>
        <v/>
      </c>
      <c r="N12" s="67">
        <f>'Quản lý điện nước, chi phí tiền'!N14</f>
        <v/>
      </c>
      <c r="O12" s="49">
        <f>'Quản lý điện nước, chi phí tiền'!O14</f>
        <v/>
      </c>
      <c r="P12" s="39">
        <f>'Quản lý điện nước, chi phí tiền'!P14</f>
        <v/>
      </c>
      <c r="Q12" s="50">
        <f>'Quản lý điện nước, chi phí tiền'!Q14</f>
        <v/>
      </c>
      <c r="R12" s="51">
        <f>'Quản lý điện nước, chi phí tiền'!R14</f>
        <v/>
      </c>
      <c r="S12" s="52">
        <f>'Quản lý điện nước, chi phí tiền'!S14</f>
        <v/>
      </c>
    </row>
    <row r="13" ht="25" customHeight="1" s="108" thickBot="1">
      <c r="A13" s="53">
        <f>'Quản lý điện nước, chi phí tiền'!A15</f>
        <v/>
      </c>
      <c r="B13" s="54">
        <f>'Quản lý điện nước, chi phí tiền'!B15</f>
        <v/>
      </c>
      <c r="C13" s="54">
        <f>'Quản lý điện nước, chi phí tiền'!C15</f>
        <v/>
      </c>
      <c r="D13" s="55">
        <f>'Quản lý điện nước, chi phí tiền'!D15</f>
        <v/>
      </c>
      <c r="E13" s="56">
        <f>'Quản lý điện nước, chi phí tiền'!E15</f>
        <v/>
      </c>
      <c r="F13" s="56">
        <f>'Quản lý điện nước, chi phí tiền'!F15</f>
        <v/>
      </c>
      <c r="G13" s="57">
        <f>'Quản lý điện nước, chi phí tiền'!G15</f>
        <v/>
      </c>
      <c r="H13" s="48">
        <f>'Quản lý điện nước, chi phí tiền'!H15</f>
        <v/>
      </c>
      <c r="I13" s="49">
        <f>'Quản lý điện nước, chi phí tiền'!I15</f>
        <v/>
      </c>
      <c r="J13" s="49">
        <f>'Quản lý điện nước, chi phí tiền'!J15</f>
        <v/>
      </c>
      <c r="K13" s="38">
        <f>'Quản lý điện nước, chi phí tiền'!K15</f>
        <v/>
      </c>
      <c r="L13" s="38">
        <f>'Quản lý điện nước, chi phí tiền'!L15</f>
        <v/>
      </c>
      <c r="M13" s="74">
        <f>'Quản lý điện nước, chi phí tiền'!M15</f>
        <v/>
      </c>
      <c r="N13" s="67">
        <f>'Quản lý điện nước, chi phí tiền'!N15</f>
        <v/>
      </c>
      <c r="O13" s="58">
        <f>'Quản lý điện nước, chi phí tiền'!O15</f>
        <v/>
      </c>
      <c r="P13" s="39">
        <f>'Quản lý điện nước, chi phí tiền'!P15</f>
        <v/>
      </c>
      <c r="Q13" s="59">
        <f>'Quản lý điện nước, chi phí tiền'!Q15</f>
        <v/>
      </c>
      <c r="R13" s="60">
        <f>'Quản lý điện nước, chi phí tiền'!R15</f>
        <v/>
      </c>
      <c r="S13" s="61">
        <f>'Quản lý điện nước, chi phí tiền'!S15</f>
        <v/>
      </c>
    </row>
    <row r="14" ht="34" customHeight="1" s="108" thickBot="1">
      <c r="A14" s="211" t="inlineStr">
        <is>
          <t>DOANH THU THÁNG</t>
        </is>
      </c>
      <c r="B14" s="209" t="n"/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10" t="n"/>
      <c r="P14" s="62">
        <f>'Quản lý điện nước, chi phí tiền'!P16</f>
        <v/>
      </c>
      <c r="Q14" s="63" t="n"/>
      <c r="R14" s="64" t="n"/>
      <c r="S14" s="65" t="n"/>
    </row>
  </sheetData>
  <mergeCells count="1">
    <mergeCell ref="A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Tiến Quyết</dc:creator>
  <dcterms:created xsi:type="dcterms:W3CDTF">1996-10-14T23:33:28Z</dcterms:created>
  <dcterms:modified xsi:type="dcterms:W3CDTF">2026-04-05T03:07:06Z</dcterms:modified>
  <cp:lastModifiedBy>Nhân Lê</cp:lastModifiedBy>
  <cp:lastPrinted>2025-08-23T14:16:44Z</cp:lastPrinted>
</cp:coreProperties>
</file>